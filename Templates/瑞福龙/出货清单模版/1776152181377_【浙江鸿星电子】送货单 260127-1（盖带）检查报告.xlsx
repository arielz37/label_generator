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订购单\"/>
    </mc:Choice>
  </mc:AlternateContent>
  <xr:revisionPtr revIDLastSave="0" documentId="13_ncr:1_{8DB7BBE1-5B9B-43CA-AC1D-01E8D0B51E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4091301" sheetId="1" r:id="rId1"/>
  </sheets>
  <definedNames>
    <definedName name="_xlnm.Print_Area" localSheetId="0">'24091301'!$B$1:$J$67</definedName>
  </definedNames>
  <calcPr calcId="181029"/>
</workbook>
</file>

<file path=xl/calcChain.xml><?xml version="1.0" encoding="utf-8"?>
<calcChain xmlns="http://schemas.openxmlformats.org/spreadsheetml/2006/main">
  <c r="G30" i="1" l="1"/>
  <c r="G29" i="1"/>
  <c r="G23" i="1" s="1"/>
  <c r="C29" i="1"/>
  <c r="C23" i="1" s="1"/>
  <c r="G28" i="1"/>
  <c r="C28" i="1"/>
  <c r="G27" i="1"/>
  <c r="C27" i="1"/>
  <c r="C30" i="1" l="1"/>
</calcChain>
</file>

<file path=xl/sharedStrings.xml><?xml version="1.0" encoding="utf-8"?>
<sst xmlns="http://schemas.openxmlformats.org/spreadsheetml/2006/main" count="96" uniqueCount="78">
  <si>
    <t>Inspection Report  (Top Cover Tape)
出货检验报告 (盖带)</t>
  </si>
  <si>
    <t>量产品</t>
  </si>
  <si>
    <t>样品</t>
  </si>
  <si>
    <t>Customer
客户名称</t>
  </si>
  <si>
    <t>Supplier
供应商</t>
  </si>
  <si>
    <t>VIRTUE Electronics Co.,Ltd.
苏州瑞福龙电子有限公司</t>
  </si>
  <si>
    <t>Purchase Order
客户订单</t>
  </si>
  <si>
    <t>QP2A2-2512000021</t>
  </si>
  <si>
    <t>Product Name
品名</t>
  </si>
  <si>
    <t>盖带　（Cover Tape）</t>
  </si>
  <si>
    <t>VHSTD 3</t>
  </si>
  <si>
    <t>Inspection Date
 检查日</t>
  </si>
  <si>
    <t>Product Type
产品型号</t>
  </si>
  <si>
    <t>VHSTD3</t>
  </si>
  <si>
    <t>Quantity
数量</t>
  </si>
  <si>
    <t>Roll</t>
  </si>
  <si>
    <t>LOT #</t>
  </si>
  <si>
    <t>1Q011401</t>
  </si>
  <si>
    <t>项目名(Item)</t>
  </si>
  <si>
    <t>W 宽度</t>
  </si>
  <si>
    <t>T 厚度</t>
  </si>
  <si>
    <t>单位(Unit)</t>
  </si>
  <si>
    <t>mm</t>
  </si>
  <si>
    <t>um</t>
  </si>
  <si>
    <t>规格值(STD)</t>
  </si>
  <si>
    <t>上限(UL)</t>
  </si>
  <si>
    <t>下限(LL)</t>
  </si>
  <si>
    <t>测定器具(Insp.by)</t>
  </si>
  <si>
    <t>Microsccope　二次元投影機　</t>
  </si>
  <si>
    <t>Digital Gage 数显卡尺</t>
  </si>
  <si>
    <t xml:space="preserve">n= </t>
  </si>
  <si>
    <t>判定</t>
  </si>
  <si>
    <t>平均值(Ave.)</t>
  </si>
  <si>
    <t>最大值(Max.)</t>
  </si>
  <si>
    <t>最小值(Min.)</t>
  </si>
  <si>
    <t>标准差(STDEV)</t>
  </si>
  <si>
    <t>规格上限(STD UL.)</t>
  </si>
  <si>
    <t>规格下限(STD LL.)</t>
  </si>
  <si>
    <t>Cpk</t>
  </si>
  <si>
    <t>外观</t>
  </si>
  <si>
    <t>-</t>
  </si>
  <si>
    <t>表面 皱褶 盘面 凹凸</t>
  </si>
  <si>
    <t>合格</t>
  </si>
  <si>
    <t>（Appearance）</t>
  </si>
  <si>
    <t xml:space="preserve">脏污 毛边 段差 松动 </t>
  </si>
  <si>
    <t>物性  PhysicalProperties</t>
  </si>
  <si>
    <t>拉断强度/破断强度</t>
  </si>
  <si>
    <t>MD</t>
  </si>
  <si>
    <t>Mpa</t>
  </si>
  <si>
    <t>52≤</t>
  </si>
  <si>
    <t>BREAKING TENSILE STRENGTH</t>
  </si>
  <si>
    <t>TD</t>
  </si>
  <si>
    <t>拉伸率/伸长率</t>
  </si>
  <si>
    <t>%</t>
  </si>
  <si>
    <t>ELONGATION</t>
  </si>
  <si>
    <r>
      <rPr>
        <sz val="12"/>
        <color theme="1"/>
        <rFont val="宋体"/>
        <family val="3"/>
        <charset val="134"/>
      </rPr>
      <t xml:space="preserve">表面电阻/表面抵抗率  </t>
    </r>
    <r>
      <rPr>
        <sz val="10"/>
        <color theme="1"/>
        <rFont val="宋体"/>
        <family val="3"/>
        <charset val="134"/>
      </rPr>
      <t>Surface Resistivity</t>
    </r>
  </si>
  <si>
    <t>PET面/PET面</t>
  </si>
  <si>
    <t>Ω/m2</t>
  </si>
  <si>
    <t>BACKING SIDE</t>
  </si>
  <si>
    <t>封合面/シール面</t>
  </si>
  <si>
    <t>ADHESIVE SIDE</t>
  </si>
  <si>
    <t>雾度/晕度（HAZE)</t>
  </si>
  <si>
    <t>≤50</t>
  </si>
  <si>
    <t>判定（JUDGEMENT)</t>
  </si>
  <si>
    <t xml:space="preserve"> </t>
  </si>
  <si>
    <t>检验：</t>
  </si>
  <si>
    <t>周娜</t>
  </si>
  <si>
    <t>核准：</t>
  </si>
  <si>
    <t>张浩龙</t>
  </si>
  <si>
    <t>* This products does not contain harmful substances andsubstances, and environmentally friendly.</t>
  </si>
  <si>
    <t xml:space="preserve">  此产品不使用有害物质，无环境污染。</t>
  </si>
  <si>
    <t>:VIRTUE Electronics Co.,Ltd.
:苏州瑞福龙电子有限公司</t>
  </si>
  <si>
    <t xml:space="preserve"> 编号： BP-R-QT-QA-159  版次：B</t>
  </si>
  <si>
    <t>N/A</t>
    <phoneticPr fontId="17"/>
  </si>
  <si>
    <r>
      <t>9.9×10</t>
    </r>
    <r>
      <rPr>
        <vertAlign val="superscript"/>
        <sz val="12"/>
        <rFont val="宋体"/>
        <family val="3"/>
        <charset val="134"/>
      </rPr>
      <t xml:space="preserve">11 </t>
    </r>
    <r>
      <rPr>
        <sz val="12"/>
        <rFont val="宋体"/>
        <family val="3"/>
        <charset val="134"/>
      </rPr>
      <t>以下</t>
    </r>
  </si>
  <si>
    <t>　</t>
    <phoneticPr fontId="17"/>
  </si>
  <si>
    <t>*  　300M</t>
    <phoneticPr fontId="17"/>
  </si>
  <si>
    <t>浙江鸿星电子科技有限公司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</si>
</sst>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_탿"/>
    <numFmt numFmtId="177" formatCode="0.00_ "/>
    <numFmt numFmtId="178" formatCode="0.00_);[Red]\(0.00\)"/>
    <numFmt numFmtId="179" formatCode="0.0000_ "/>
  </numFmts>
  <fonts count="19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3"/>
      <color theme="1"/>
      <name val="宋体"/>
      <family val="3"/>
      <charset val="134"/>
    </font>
    <font>
      <sz val="12"/>
      <color rgb="FFFF0000"/>
      <name val="Meiryo UI"/>
      <family val="3"/>
      <charset val="128"/>
    </font>
    <font>
      <b/>
      <sz val="12"/>
      <color rgb="FF3333FF"/>
      <name val="宋体"/>
      <family val="3"/>
      <charset val="134"/>
    </font>
    <font>
      <sz val="12"/>
      <color theme="2" tint="-9.9978637043366805E-2"/>
      <name val="宋体"/>
      <family val="3"/>
      <charset val="134"/>
    </font>
    <font>
      <sz val="10"/>
      <name val="宋体"/>
      <family val="3"/>
      <charset val="134"/>
    </font>
    <font>
      <sz val="12"/>
      <color rgb="FFFF0000"/>
      <name val="宋体"/>
      <family val="3"/>
      <charset val="134"/>
    </font>
    <font>
      <sz val="13"/>
      <name val="宋体"/>
      <family val="3"/>
      <charset val="134"/>
    </font>
    <font>
      <sz val="11"/>
      <name val="宋体"/>
      <family val="3"/>
      <charset val="134"/>
    </font>
    <font>
      <sz val="14"/>
      <name val="System"/>
      <charset val="134"/>
    </font>
    <font>
      <vertAlign val="superscript"/>
      <sz val="12"/>
      <name val="宋体"/>
      <family val="3"/>
      <charset val="134"/>
    </font>
    <font>
      <sz val="10"/>
      <color theme="1"/>
      <name val="宋体"/>
      <family val="3"/>
      <charset val="134"/>
    </font>
    <font>
      <sz val="6"/>
      <name val="宋体"/>
      <family val="3"/>
      <charset val="128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0"/>
      </bottom>
      <diagonal/>
    </border>
    <border>
      <left style="thin">
        <color auto="1"/>
      </left>
      <right/>
      <top style="medium">
        <color auto="1"/>
      </top>
      <bottom style="thin">
        <color theme="0"/>
      </bottom>
      <diagonal/>
    </border>
    <border>
      <left/>
      <right style="thin">
        <color auto="1"/>
      </right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4" fillId="0" borderId="0"/>
    <xf numFmtId="0" fontId="14" fillId="0" borderId="0"/>
  </cellStyleXfs>
  <cellXfs count="150">
    <xf numFmtId="0" fontId="0" fillId="0" borderId="0" xfId="0">
      <alignment vertical="center"/>
    </xf>
    <xf numFmtId="0" fontId="1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3" borderId="5" xfId="2" applyFont="1" applyFill="1" applyBorder="1" applyAlignment="1">
      <alignment horizontal="center" vertical="center" wrapText="1"/>
    </xf>
    <xf numFmtId="0" fontId="1" fillId="3" borderId="7" xfId="2" applyFont="1" applyFill="1" applyBorder="1" applyAlignment="1">
      <alignment horizontal="right" vertical="center" wrapText="1"/>
    </xf>
    <xf numFmtId="0" fontId="5" fillId="3" borderId="8" xfId="2" applyFont="1" applyFill="1" applyBorder="1" applyAlignment="1">
      <alignment horizontal="center" vertical="center"/>
    </xf>
    <xf numFmtId="0" fontId="1" fillId="3" borderId="9" xfId="2" applyFont="1" applyFill="1" applyBorder="1" applyAlignment="1">
      <alignment vertical="center" wrapText="1"/>
    </xf>
    <xf numFmtId="0" fontId="3" fillId="3" borderId="6" xfId="2" applyFont="1" applyFill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178" fontId="6" fillId="2" borderId="22" xfId="2" applyNumberFormat="1" applyFont="1" applyFill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178" fontId="6" fillId="2" borderId="23" xfId="2" applyNumberFormat="1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6" fillId="2" borderId="24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178" fontId="6" fillId="2" borderId="26" xfId="2" applyNumberFormat="1" applyFont="1" applyFill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178" fontId="6" fillId="2" borderId="27" xfId="2" applyNumberFormat="1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0" borderId="29" xfId="2" applyFont="1" applyBorder="1" applyAlignment="1">
      <alignment horizontal="center" vertical="center"/>
    </xf>
    <xf numFmtId="178" fontId="6" fillId="2" borderId="30" xfId="2" applyNumberFormat="1" applyFont="1" applyFill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178" fontId="6" fillId="2" borderId="31" xfId="2" applyNumberFormat="1" applyFont="1" applyFill="1" applyBorder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6" fillId="2" borderId="32" xfId="2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1" fillId="2" borderId="6" xfId="2" applyFont="1" applyFill="1" applyBorder="1" applyAlignment="1">
      <alignment horizontal="center" vertical="center"/>
    </xf>
    <xf numFmtId="0" fontId="1" fillId="2" borderId="10" xfId="2" applyFont="1" applyFill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" fillId="0" borderId="14" xfId="2" applyFont="1" applyBorder="1" applyAlignment="1">
      <alignment vertical="center"/>
    </xf>
    <xf numFmtId="0" fontId="1" fillId="0" borderId="46" xfId="2" applyFont="1" applyBorder="1" applyAlignment="1">
      <alignment horizontal="center" vertical="center"/>
    </xf>
    <xf numFmtId="0" fontId="1" fillId="0" borderId="47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0" xfId="2" applyFont="1" applyAlignment="1">
      <alignment vertical="center"/>
    </xf>
    <xf numFmtId="0" fontId="1" fillId="3" borderId="0" xfId="2" applyFont="1" applyFill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1" fillId="0" borderId="49" xfId="2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1" fillId="2" borderId="45" xfId="2" applyFont="1" applyFill="1" applyBorder="1" applyAlignment="1">
      <alignment horizontal="center" vertical="center"/>
    </xf>
    <xf numFmtId="0" fontId="1" fillId="2" borderId="12" xfId="2" applyFont="1" applyFill="1" applyBorder="1" applyAlignment="1">
      <alignment horizontal="center" vertical="center"/>
    </xf>
    <xf numFmtId="0" fontId="1" fillId="2" borderId="50" xfId="2" applyFont="1" applyFill="1" applyBorder="1" applyAlignment="1">
      <alignment horizontal="center" vertical="center"/>
    </xf>
    <xf numFmtId="0" fontId="1" fillId="2" borderId="20" xfId="2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11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2" borderId="14" xfId="2" applyFont="1" applyFill="1" applyBorder="1" applyAlignment="1">
      <alignment horizontal="center" vertical="center"/>
    </xf>
    <xf numFmtId="0" fontId="1" fillId="2" borderId="16" xfId="2" applyFont="1" applyFill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0" fillId="0" borderId="39" xfId="2" applyFont="1" applyBorder="1" applyAlignment="1">
      <alignment horizontal="center" vertical="center"/>
    </xf>
    <xf numFmtId="0" fontId="5" fillId="0" borderId="44" xfId="2" applyFont="1" applyBorder="1" applyAlignment="1">
      <alignment horizontal="center" vertical="center" wrapText="1"/>
    </xf>
    <xf numFmtId="0" fontId="1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11" fontId="1" fillId="2" borderId="6" xfId="2" applyNumberFormat="1" applyFont="1" applyFill="1" applyBorder="1" applyAlignment="1">
      <alignment horizontal="center" vertical="center"/>
    </xf>
    <xf numFmtId="11" fontId="1" fillId="2" borderId="10" xfId="2" applyNumberFormat="1" applyFont="1" applyFill="1" applyBorder="1" applyAlignment="1">
      <alignment horizontal="center" vertical="center"/>
    </xf>
    <xf numFmtId="0" fontId="1" fillId="0" borderId="7" xfId="2" applyFont="1" applyBorder="1" applyAlignment="1">
      <alignment horizontal="center" vertical="center" wrapText="1"/>
    </xf>
    <xf numFmtId="0" fontId="1" fillId="0" borderId="9" xfId="2" applyFont="1" applyBorder="1" applyAlignment="1">
      <alignment horizontal="center" vertical="center" wrapText="1"/>
    </xf>
    <xf numFmtId="0" fontId="1" fillId="0" borderId="44" xfId="2" applyFont="1" applyBorder="1" applyAlignment="1">
      <alignment horizontal="center" vertical="center"/>
    </xf>
    <xf numFmtId="179" fontId="5" fillId="0" borderId="14" xfId="2" applyNumberFormat="1" applyFont="1" applyBorder="1" applyAlignment="1">
      <alignment horizontal="center" vertical="center"/>
    </xf>
    <xf numFmtId="0" fontId="1" fillId="0" borderId="33" xfId="2" applyFont="1" applyBorder="1" applyAlignment="1">
      <alignment horizontal="center" vertical="center" wrapText="1"/>
    </xf>
    <xf numFmtId="0" fontId="1" fillId="0" borderId="34" xfId="2" applyFont="1" applyBorder="1" applyAlignment="1">
      <alignment horizontal="center" vertical="center" wrapText="1"/>
    </xf>
    <xf numFmtId="0" fontId="1" fillId="0" borderId="35" xfId="2" applyFont="1" applyBorder="1" applyAlignment="1">
      <alignment horizontal="center" vertical="center" wrapText="1"/>
    </xf>
    <xf numFmtId="0" fontId="1" fillId="0" borderId="36" xfId="2" applyFont="1" applyBorder="1" applyAlignment="1">
      <alignment horizontal="center" vertical="center" wrapText="1"/>
    </xf>
    <xf numFmtId="0" fontId="1" fillId="0" borderId="38" xfId="2" applyFont="1" applyBorder="1" applyAlignment="1">
      <alignment horizontal="center" vertical="center" wrapText="1"/>
    </xf>
    <xf numFmtId="0" fontId="1" fillId="0" borderId="39" xfId="2" applyFont="1" applyBorder="1" applyAlignment="1">
      <alignment horizontal="center" vertical="center" wrapText="1"/>
    </xf>
    <xf numFmtId="0" fontId="1" fillId="0" borderId="40" xfId="2" applyFont="1" applyBorder="1" applyAlignment="1">
      <alignment horizontal="center" vertical="center" wrapText="1"/>
    </xf>
    <xf numFmtId="0" fontId="1" fillId="0" borderId="41" xfId="2" applyFont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/>
    </xf>
    <xf numFmtId="0" fontId="1" fillId="2" borderId="37" xfId="2" applyFont="1" applyFill="1" applyBorder="1" applyAlignment="1">
      <alignment horizontal="center" vertical="center"/>
    </xf>
    <xf numFmtId="0" fontId="1" fillId="2" borderId="42" xfId="2" applyFont="1" applyFill="1" applyBorder="1" applyAlignment="1">
      <alignment horizontal="center" vertical="center"/>
    </xf>
    <xf numFmtId="0" fontId="1" fillId="2" borderId="43" xfId="2" applyFont="1" applyFill="1" applyBorder="1" applyAlignment="1">
      <alignment horizontal="center" vertical="center"/>
    </xf>
    <xf numFmtId="179" fontId="5" fillId="0" borderId="6" xfId="2" applyNumberFormat="1" applyFont="1" applyBorder="1" applyAlignment="1">
      <alignment horizontal="center" vertical="center"/>
    </xf>
    <xf numFmtId="179" fontId="5" fillId="0" borderId="10" xfId="2" applyNumberFormat="1" applyFont="1" applyBorder="1" applyAlignment="1">
      <alignment horizontal="center" vertical="center"/>
    </xf>
    <xf numFmtId="178" fontId="5" fillId="0" borderId="6" xfId="2" applyNumberFormat="1" applyFont="1" applyBorder="1" applyAlignment="1">
      <alignment horizontal="center" vertical="center"/>
    </xf>
    <xf numFmtId="178" fontId="5" fillId="0" borderId="10" xfId="2" applyNumberFormat="1" applyFont="1" applyBorder="1" applyAlignment="1">
      <alignment horizontal="center" vertical="center"/>
    </xf>
    <xf numFmtId="177" fontId="5" fillId="2" borderId="6" xfId="2" applyNumberFormat="1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176" fontId="5" fillId="2" borderId="6" xfId="2" applyNumberFormat="1" applyFont="1" applyFill="1" applyBorder="1" applyAlignment="1">
      <alignment horizontal="center" vertical="center"/>
    </xf>
    <xf numFmtId="0" fontId="5" fillId="0" borderId="51" xfId="2" applyFont="1" applyBorder="1" applyAlignment="1">
      <alignment horizontal="center" vertical="center"/>
    </xf>
    <xf numFmtId="0" fontId="5" fillId="0" borderId="52" xfId="2" applyFont="1" applyBorder="1" applyAlignment="1">
      <alignment horizontal="center" vertical="center"/>
    </xf>
    <xf numFmtId="0" fontId="5" fillId="0" borderId="53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1" fillId="0" borderId="57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51" xfId="2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/>
    </xf>
    <xf numFmtId="0" fontId="1" fillId="0" borderId="53" xfId="2" applyFont="1" applyBorder="1" applyAlignment="1">
      <alignment horizontal="center" vertical="center"/>
    </xf>
    <xf numFmtId="0" fontId="1" fillId="0" borderId="59" xfId="2" applyFont="1" applyBorder="1" applyAlignment="1">
      <alignment horizontal="center" vertical="center"/>
    </xf>
    <xf numFmtId="0" fontId="1" fillId="0" borderId="55" xfId="2" applyFont="1" applyBorder="1" applyAlignment="1">
      <alignment horizontal="center" vertical="center"/>
    </xf>
    <xf numFmtId="0" fontId="1" fillId="0" borderId="60" xfId="2" applyFont="1" applyBorder="1" applyAlignment="1">
      <alignment horizontal="center" vertical="center"/>
    </xf>
    <xf numFmtId="0" fontId="5" fillId="4" borderId="18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 wrapText="1"/>
    </xf>
    <xf numFmtId="58" fontId="1" fillId="3" borderId="6" xfId="2" applyNumberFormat="1" applyFont="1" applyFill="1" applyBorder="1" applyAlignment="1">
      <alignment horizontal="center" vertical="center"/>
    </xf>
    <xf numFmtId="0" fontId="1" fillId="3" borderId="10" xfId="2" applyFont="1" applyFill="1" applyBorder="1" applyAlignment="1">
      <alignment horizontal="center" vertical="center"/>
    </xf>
  </cellXfs>
  <cellStyles count="4">
    <cellStyle name="常规" xfId="0" builtinId="0"/>
    <cellStyle name="常规 2 2" xfId="1" xr:uid="{00000000-0005-0000-0000-000031000000}"/>
    <cellStyle name="常规_盖带2015检验报告" xfId="2" xr:uid="{00000000-0005-0000-0000-000032000000}"/>
    <cellStyle name="样式 1" xfId="3" xr:uid="{00000000-0005-0000-0000-00003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2</xdr:row>
          <xdr:rowOff>66675</xdr:rowOff>
        </xdr:from>
        <xdr:to>
          <xdr:col>8</xdr:col>
          <xdr:colOff>457200</xdr:colOff>
          <xdr:row>2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2</xdr:row>
          <xdr:rowOff>85725</xdr:rowOff>
        </xdr:from>
        <xdr:to>
          <xdr:col>9</xdr:col>
          <xdr:colOff>542925</xdr:colOff>
          <xdr:row>2</xdr:row>
          <xdr:rowOff>314325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</xdr:col>
      <xdr:colOff>773906</xdr:colOff>
      <xdr:row>44</xdr:row>
      <xdr:rowOff>47626</xdr:rowOff>
    </xdr:from>
    <xdr:to>
      <xdr:col>5</xdr:col>
      <xdr:colOff>845343</xdr:colOff>
      <xdr:row>60</xdr:row>
      <xdr:rowOff>153267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32BC037-A8EB-39CA-8A95-87837A339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44" y="12192001"/>
          <a:ext cx="5762624" cy="3987079"/>
        </a:xfrm>
        <a:prstGeom prst="rect">
          <a:avLst/>
        </a:prstGeom>
      </xdr:spPr>
    </xdr:pic>
    <xdr:clientData/>
  </xdr:twoCellAnchor>
  <xdr:twoCellAnchor editAs="oneCell">
    <xdr:from>
      <xdr:col>6</xdr:col>
      <xdr:colOff>1190625</xdr:colOff>
      <xdr:row>45</xdr:row>
      <xdr:rowOff>83344</xdr:rowOff>
    </xdr:from>
    <xdr:to>
      <xdr:col>10</xdr:col>
      <xdr:colOff>23812</xdr:colOff>
      <xdr:row>62</xdr:row>
      <xdr:rowOff>46133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AFCF395-860B-D4FD-5790-CD26401BA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125" y="12513469"/>
          <a:ext cx="4310062" cy="3939477"/>
        </a:xfrm>
        <a:prstGeom prst="rect">
          <a:avLst/>
        </a:prstGeom>
      </xdr:spPr>
    </xdr:pic>
    <xdr:clientData/>
  </xdr:twoCellAnchor>
  <xdr:twoCellAnchor>
    <xdr:from>
      <xdr:col>7</xdr:col>
      <xdr:colOff>511968</xdr:colOff>
      <xdr:row>62</xdr:row>
      <xdr:rowOff>-1</xdr:rowOff>
    </xdr:from>
    <xdr:to>
      <xdr:col>8</xdr:col>
      <xdr:colOff>476251</xdr:colOff>
      <xdr:row>66</xdr:row>
      <xdr:rowOff>52917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9005093" y="15430499"/>
          <a:ext cx="1329533" cy="1243543"/>
          <a:chOff x="8260292" y="27246792"/>
          <a:chExt cx="1068916" cy="1026583"/>
        </a:xfrm>
      </xdr:grpSpPr>
      <xdr:sp macro="" textlink="">
        <xdr:nvSpPr>
          <xdr:cNvPr id="11" name="流程图: 接点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8260292" y="27246792"/>
            <a:ext cx="1068916" cy="1026583"/>
          </a:xfrm>
          <a:prstGeom prst="flowChartConnector">
            <a:avLst/>
          </a:prstGeom>
          <a:noFill/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wrap="square" lIns="18288" tIns="0" rIns="0" bIns="0" rtlCol="0" anchor="ctr" upright="1"/>
          <a:lstStyle/>
          <a:p>
            <a:pPr algn="l"/>
            <a:endParaRPr lang="zh-CN" altLang="en-US" sz="1100"/>
          </a:p>
        </xdr:txBody>
      </xdr:sp>
      <xdr:sp macro="" textlink="">
        <xdr:nvSpPr>
          <xdr:cNvPr id="12" name="文本框 1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8401574" y="27379083"/>
            <a:ext cx="820207" cy="730251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prstTxWarp prst="textArchUp">
              <a:avLst>
                <a:gd name="adj" fmla="val 9839570"/>
              </a:avLst>
            </a:prstTxWarp>
            <a:noAutofit/>
            <a:scene3d>
              <a:camera prst="orthographicFront">
                <a:rot lat="0" lon="0" rev="0"/>
              </a:camera>
              <a:lightRig rig="threePt" dir="t"/>
            </a:scene3d>
          </a:bodyPr>
          <a:lstStyle/>
          <a:p>
            <a:r>
              <a:rPr lang="zh-CN" altLang="en-US" sz="1150" b="1">
                <a:solidFill>
                  <a:srgbClr val="FF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苏州瑞福龙电子有限公司</a:t>
            </a:r>
          </a:p>
        </xdr:txBody>
      </xdr:sp>
      <xdr:sp macro="" textlink="">
        <xdr:nvSpPr>
          <xdr:cNvPr id="13" name="星形: 五角 11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641292" y="27611916"/>
            <a:ext cx="317500" cy="301626"/>
          </a:xfrm>
          <a:prstGeom prst="star5">
            <a:avLst/>
          </a:prstGeom>
          <a:solidFill>
            <a:srgbClr val="FF0000"/>
          </a:solidFill>
          <a:ln w="19050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  <xdr:txBody>
          <a:bodyPr vertOverflow="clip" wrap="square" lIns="18288" tIns="0" rIns="0" bIns="0" rtlCol="0" anchor="ctr" upright="1"/>
          <a:lstStyle/>
          <a:p>
            <a:pPr algn="l"/>
            <a:endParaRPr lang="zh-CN" altLang="en-US" sz="1100"/>
          </a:p>
        </xdr:txBody>
      </xdr:sp>
      <xdr:sp macro="" textlink="">
        <xdr:nvSpPr>
          <xdr:cNvPr id="14" name="文本框 1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8461895" y="27934710"/>
            <a:ext cx="761747" cy="242374"/>
          </a:xfrm>
          <a:prstGeom prst="rect">
            <a:avLst/>
          </a:prstGeom>
          <a:noFill/>
          <a:ln w="19050"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zh-CN" altLang="en-US" sz="900" b="0">
                <a:solidFill>
                  <a:srgbClr val="FF0000"/>
                </a:solidFill>
                <a:latin typeface="宋体" panose="02010600030101010101" pitchFamily="7" charset="-122"/>
                <a:ea typeface="宋体" panose="02010600030101010101" pitchFamily="7" charset="-122"/>
              </a:rPr>
              <a:t>业务专用章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67"/>
  <sheetViews>
    <sheetView tabSelected="1" view="pageBreakPreview" topLeftCell="A22" zoomScale="60" zoomScaleNormal="50" workbookViewId="0">
      <selection activeCell="U17" sqref="U17"/>
    </sheetView>
  </sheetViews>
  <sheetFormatPr defaultColWidth="9" defaultRowHeight="19.5" customHeight="1" x14ac:dyDescent="0.15"/>
  <cols>
    <col min="1" max="1" width="1" style="1" customWidth="1"/>
    <col min="2" max="2" width="20.75" style="1" customWidth="1"/>
    <col min="3" max="10" width="18" style="1" customWidth="1"/>
    <col min="11" max="11" width="1" style="1" customWidth="1"/>
    <col min="12" max="16384" width="9" style="1"/>
  </cols>
  <sheetData>
    <row r="1" spans="2:10" ht="6.75" customHeight="1" x14ac:dyDescent="0.15"/>
    <row r="2" spans="2:10" ht="55.5" customHeight="1" x14ac:dyDescent="0.15">
      <c r="B2" s="142" t="s">
        <v>0</v>
      </c>
      <c r="C2" s="143"/>
      <c r="D2" s="143"/>
      <c r="E2" s="143"/>
      <c r="F2" s="143"/>
      <c r="G2" s="143"/>
      <c r="H2" s="143"/>
      <c r="I2" s="143"/>
      <c r="J2" s="143"/>
    </row>
    <row r="3" spans="2:10" ht="30" customHeight="1" x14ac:dyDescent="0.15">
      <c r="B3" s="2"/>
      <c r="C3" s="3"/>
      <c r="D3" s="3"/>
      <c r="E3" s="3"/>
      <c r="F3" s="3"/>
      <c r="G3" s="3"/>
      <c r="H3" s="3"/>
      <c r="I3" s="4" t="s">
        <v>1</v>
      </c>
      <c r="J3" s="4" t="s">
        <v>2</v>
      </c>
    </row>
    <row r="4" spans="2:10" ht="57.95" customHeight="1" x14ac:dyDescent="0.15">
      <c r="B4" s="5" t="s">
        <v>3</v>
      </c>
      <c r="C4" s="144" t="s">
        <v>77</v>
      </c>
      <c r="D4" s="144"/>
      <c r="E4" s="6" t="s">
        <v>4</v>
      </c>
      <c r="F4" s="144" t="s">
        <v>5</v>
      </c>
      <c r="G4" s="144"/>
      <c r="H4" s="7" t="s">
        <v>6</v>
      </c>
      <c r="I4" s="145" t="s">
        <v>7</v>
      </c>
      <c r="J4" s="146"/>
    </row>
    <row r="5" spans="2:10" ht="39.950000000000003" customHeight="1" x14ac:dyDescent="0.15">
      <c r="B5" s="8" t="s">
        <v>8</v>
      </c>
      <c r="C5" s="147" t="s">
        <v>9</v>
      </c>
      <c r="D5" s="147"/>
      <c r="E5" s="9" t="s">
        <v>10</v>
      </c>
      <c r="F5" s="10">
        <v>5.3</v>
      </c>
      <c r="G5" s="11" t="s">
        <v>76</v>
      </c>
      <c r="H5" s="12" t="s">
        <v>11</v>
      </c>
      <c r="I5" s="148">
        <v>46049</v>
      </c>
      <c r="J5" s="149"/>
    </row>
    <row r="6" spans="2:10" ht="18" customHeight="1" x14ac:dyDescent="0.15">
      <c r="B6" s="70" t="s">
        <v>12</v>
      </c>
      <c r="C6" s="126" t="s">
        <v>13</v>
      </c>
      <c r="D6" s="127"/>
      <c r="E6" s="76" t="s">
        <v>14</v>
      </c>
      <c r="F6" s="61">
        <v>100</v>
      </c>
      <c r="G6" s="61" t="s">
        <v>15</v>
      </c>
      <c r="H6" s="81" t="s">
        <v>16</v>
      </c>
      <c r="I6" s="134" t="s">
        <v>17</v>
      </c>
      <c r="J6" s="135"/>
    </row>
    <row r="7" spans="2:10" ht="18" customHeight="1" x14ac:dyDescent="0.15">
      <c r="B7" s="71"/>
      <c r="C7" s="128"/>
      <c r="D7" s="129"/>
      <c r="E7" s="77"/>
      <c r="F7" s="132"/>
      <c r="G7" s="132"/>
      <c r="H7" s="82"/>
      <c r="I7" s="136"/>
      <c r="J7" s="137"/>
    </row>
    <row r="8" spans="2:10" ht="18" customHeight="1" x14ac:dyDescent="0.15">
      <c r="B8" s="71"/>
      <c r="C8" s="128"/>
      <c r="D8" s="129"/>
      <c r="E8" s="77"/>
      <c r="F8" s="132"/>
      <c r="G8" s="132"/>
      <c r="H8" s="82"/>
      <c r="I8" s="136"/>
      <c r="J8" s="137"/>
    </row>
    <row r="9" spans="2:10" ht="18" customHeight="1" x14ac:dyDescent="0.15">
      <c r="B9" s="71"/>
      <c r="C9" s="128"/>
      <c r="D9" s="129"/>
      <c r="E9" s="77"/>
      <c r="F9" s="132"/>
      <c r="G9" s="132"/>
      <c r="H9" s="82"/>
      <c r="I9" s="136"/>
      <c r="J9" s="137"/>
    </row>
    <row r="10" spans="2:10" ht="18" customHeight="1" thickBot="1" x14ac:dyDescent="0.2">
      <c r="B10" s="72"/>
      <c r="C10" s="130"/>
      <c r="D10" s="131"/>
      <c r="E10" s="78"/>
      <c r="F10" s="133"/>
      <c r="G10" s="133"/>
      <c r="H10" s="83"/>
      <c r="I10" s="138"/>
      <c r="J10" s="139"/>
    </row>
    <row r="11" spans="2:10" ht="7.5" customHeight="1" thickBot="1" x14ac:dyDescent="0.2"/>
    <row r="12" spans="2:10" ht="18" customHeight="1" x14ac:dyDescent="0.15">
      <c r="B12" s="15" t="s">
        <v>18</v>
      </c>
      <c r="C12" s="140" t="s">
        <v>19</v>
      </c>
      <c r="D12" s="140"/>
      <c r="E12" s="140"/>
      <c r="F12" s="140"/>
      <c r="G12" s="140" t="s">
        <v>20</v>
      </c>
      <c r="H12" s="140"/>
      <c r="I12" s="140"/>
      <c r="J12" s="141"/>
    </row>
    <row r="13" spans="2:10" ht="18" customHeight="1" x14ac:dyDescent="0.15">
      <c r="B13" s="16" t="s">
        <v>21</v>
      </c>
      <c r="C13" s="123" t="s">
        <v>22</v>
      </c>
      <c r="D13" s="123"/>
      <c r="E13" s="123"/>
      <c r="F13" s="123"/>
      <c r="G13" s="123" t="s">
        <v>23</v>
      </c>
      <c r="H13" s="123"/>
      <c r="I13" s="123"/>
      <c r="J13" s="124"/>
    </row>
    <row r="14" spans="2:10" ht="18" customHeight="1" x14ac:dyDescent="0.15">
      <c r="B14" s="17" t="s">
        <v>24</v>
      </c>
      <c r="C14" s="125">
        <v>5.3</v>
      </c>
      <c r="D14" s="125"/>
      <c r="E14" s="125"/>
      <c r="F14" s="125"/>
      <c r="G14" s="119">
        <v>52</v>
      </c>
      <c r="H14" s="119"/>
      <c r="I14" s="119"/>
      <c r="J14" s="120"/>
    </row>
    <row r="15" spans="2:10" ht="18" customHeight="1" x14ac:dyDescent="0.15">
      <c r="B15" s="17" t="s">
        <v>25</v>
      </c>
      <c r="C15" s="118">
        <v>0.1</v>
      </c>
      <c r="D15" s="118"/>
      <c r="E15" s="118"/>
      <c r="F15" s="118"/>
      <c r="G15" s="119">
        <v>4</v>
      </c>
      <c r="H15" s="119"/>
      <c r="I15" s="119"/>
      <c r="J15" s="120"/>
    </row>
    <row r="16" spans="2:10" ht="18" customHeight="1" x14ac:dyDescent="0.15">
      <c r="B16" s="17" t="s">
        <v>26</v>
      </c>
      <c r="C16" s="118">
        <v>-0.1</v>
      </c>
      <c r="D16" s="118"/>
      <c r="E16" s="118"/>
      <c r="F16" s="118"/>
      <c r="G16" s="119">
        <v>-4</v>
      </c>
      <c r="H16" s="119"/>
      <c r="I16" s="119"/>
      <c r="J16" s="120"/>
    </row>
    <row r="17" spans="2:12" ht="18" customHeight="1" x14ac:dyDescent="0.15">
      <c r="B17" s="17" t="s">
        <v>27</v>
      </c>
      <c r="C17" s="94" t="s">
        <v>28</v>
      </c>
      <c r="D17" s="94"/>
      <c r="E17" s="94"/>
      <c r="F17" s="94"/>
      <c r="G17" s="80" t="s">
        <v>29</v>
      </c>
      <c r="H17" s="80"/>
      <c r="I17" s="80"/>
      <c r="J17" s="121"/>
    </row>
    <row r="18" spans="2:12" ht="22.5" customHeight="1" x14ac:dyDescent="0.15">
      <c r="B18" s="73" t="s">
        <v>30</v>
      </c>
      <c r="C18" s="18">
        <v>1</v>
      </c>
      <c r="D18" s="19">
        <v>5.3</v>
      </c>
      <c r="E18" s="20">
        <v>6</v>
      </c>
      <c r="F18" s="21">
        <v>5.29</v>
      </c>
      <c r="G18" s="18">
        <v>1</v>
      </c>
      <c r="H18" s="22">
        <v>52</v>
      </c>
      <c r="I18" s="20">
        <v>6</v>
      </c>
      <c r="J18" s="23">
        <v>51</v>
      </c>
    </row>
    <row r="19" spans="2:12" ht="22.5" customHeight="1" x14ac:dyDescent="0.15">
      <c r="B19" s="73"/>
      <c r="C19" s="24">
        <v>2</v>
      </c>
      <c r="D19" s="25">
        <v>5.29</v>
      </c>
      <c r="E19" s="26">
        <v>7</v>
      </c>
      <c r="F19" s="27">
        <v>5.29</v>
      </c>
      <c r="G19" s="24">
        <v>2</v>
      </c>
      <c r="H19" s="28">
        <v>53</v>
      </c>
      <c r="I19" s="26">
        <v>7</v>
      </c>
      <c r="J19" s="29">
        <v>52</v>
      </c>
    </row>
    <row r="20" spans="2:12" ht="22.5" customHeight="1" x14ac:dyDescent="0.15">
      <c r="B20" s="73"/>
      <c r="C20" s="24">
        <v>3</v>
      </c>
      <c r="D20" s="25">
        <v>5.31</v>
      </c>
      <c r="E20" s="26">
        <v>8</v>
      </c>
      <c r="F20" s="27">
        <v>5.3</v>
      </c>
      <c r="G20" s="24">
        <v>3</v>
      </c>
      <c r="H20" s="28">
        <v>51</v>
      </c>
      <c r="I20" s="26">
        <v>8</v>
      </c>
      <c r="J20" s="29">
        <v>53</v>
      </c>
    </row>
    <row r="21" spans="2:12" ht="22.5" customHeight="1" x14ac:dyDescent="0.15">
      <c r="B21" s="73"/>
      <c r="C21" s="24">
        <v>4</v>
      </c>
      <c r="D21" s="25">
        <v>5.3</v>
      </c>
      <c r="E21" s="26">
        <v>9</v>
      </c>
      <c r="F21" s="27">
        <v>5.31</v>
      </c>
      <c r="G21" s="24">
        <v>4</v>
      </c>
      <c r="H21" s="28">
        <v>52</v>
      </c>
      <c r="I21" s="26">
        <v>9</v>
      </c>
      <c r="J21" s="29">
        <v>51</v>
      </c>
    </row>
    <row r="22" spans="2:12" ht="22.5" customHeight="1" x14ac:dyDescent="0.15">
      <c r="B22" s="73"/>
      <c r="C22" s="30">
        <v>5</v>
      </c>
      <c r="D22" s="31">
        <v>5.31</v>
      </c>
      <c r="E22" s="32">
        <v>10</v>
      </c>
      <c r="F22" s="33">
        <v>5.3</v>
      </c>
      <c r="G22" s="30">
        <v>5</v>
      </c>
      <c r="H22" s="34">
        <v>53</v>
      </c>
      <c r="I22" s="32">
        <v>10</v>
      </c>
      <c r="J22" s="35">
        <v>52</v>
      </c>
    </row>
    <row r="23" spans="2:12" ht="18" customHeight="1" x14ac:dyDescent="0.15">
      <c r="B23" s="17" t="s">
        <v>31</v>
      </c>
      <c r="C23" s="77" t="str">
        <f>IF(AND(C25&gt;=C29,C25&lt;=C28,C26&gt;=C29,C26&lt;=C28),"OK","NG")</f>
        <v>OK</v>
      </c>
      <c r="D23" s="77"/>
      <c r="E23" s="77"/>
      <c r="F23" s="77"/>
      <c r="G23" s="77" t="str">
        <f>IF(AND(G25&gt;=G29,G25&lt;=G28,G26&gt;=G29,G26&lt;=G28),"OK","NG")</f>
        <v>OK</v>
      </c>
      <c r="H23" s="77"/>
      <c r="I23" s="77"/>
      <c r="J23" s="122"/>
      <c r="L23" s="36"/>
    </row>
    <row r="24" spans="2:12" ht="18" customHeight="1" x14ac:dyDescent="0.15">
      <c r="B24" s="17" t="s">
        <v>32</v>
      </c>
      <c r="C24" s="116">
        <v>5.3</v>
      </c>
      <c r="D24" s="116"/>
      <c r="E24" s="116"/>
      <c r="F24" s="116"/>
      <c r="G24" s="116">
        <v>52</v>
      </c>
      <c r="H24" s="116"/>
      <c r="I24" s="116"/>
      <c r="J24" s="117"/>
      <c r="L24" s="36"/>
    </row>
    <row r="25" spans="2:12" ht="18" customHeight="1" x14ac:dyDescent="0.15">
      <c r="B25" s="17" t="s">
        <v>33</v>
      </c>
      <c r="C25" s="116">
        <v>5.31</v>
      </c>
      <c r="D25" s="116"/>
      <c r="E25" s="116"/>
      <c r="F25" s="116"/>
      <c r="G25" s="116">
        <v>53</v>
      </c>
      <c r="H25" s="116"/>
      <c r="I25" s="116"/>
      <c r="J25" s="117"/>
      <c r="L25" s="36"/>
    </row>
    <row r="26" spans="2:12" ht="18" customHeight="1" x14ac:dyDescent="0.15">
      <c r="B26" s="17" t="s">
        <v>34</v>
      </c>
      <c r="C26" s="116">
        <v>5.29</v>
      </c>
      <c r="D26" s="116"/>
      <c r="E26" s="116"/>
      <c r="F26" s="116"/>
      <c r="G26" s="116">
        <v>51</v>
      </c>
      <c r="H26" s="116"/>
      <c r="I26" s="116"/>
      <c r="J26" s="117"/>
      <c r="L26" s="36"/>
    </row>
    <row r="27" spans="2:12" ht="18" customHeight="1" x14ac:dyDescent="0.15">
      <c r="B27" s="17" t="s">
        <v>35</v>
      </c>
      <c r="C27" s="114">
        <f>STDEV(D18:D22,F18:F22)</f>
        <v>8.164965809277086E-3</v>
      </c>
      <c r="D27" s="114"/>
      <c r="E27" s="114"/>
      <c r="F27" s="114"/>
      <c r="G27" s="114">
        <f>STDEV(H18:H22,J18:J22)</f>
        <v>0.81649658092772603</v>
      </c>
      <c r="H27" s="114"/>
      <c r="I27" s="114"/>
      <c r="J27" s="115"/>
      <c r="L27" s="36"/>
    </row>
    <row r="28" spans="2:12" ht="18" customHeight="1" x14ac:dyDescent="0.15">
      <c r="B28" s="17" t="s">
        <v>36</v>
      </c>
      <c r="C28" s="116">
        <f>C14+C15</f>
        <v>5.3999999999999995</v>
      </c>
      <c r="D28" s="116"/>
      <c r="E28" s="116"/>
      <c r="F28" s="116"/>
      <c r="G28" s="116">
        <f>G14+G15</f>
        <v>56</v>
      </c>
      <c r="H28" s="116"/>
      <c r="I28" s="116"/>
      <c r="J28" s="117"/>
      <c r="L28" s="36"/>
    </row>
    <row r="29" spans="2:12" ht="18" customHeight="1" x14ac:dyDescent="0.15">
      <c r="B29" s="17" t="s">
        <v>37</v>
      </c>
      <c r="C29" s="116">
        <f>C14+C16</f>
        <v>5.2</v>
      </c>
      <c r="D29" s="116"/>
      <c r="E29" s="116"/>
      <c r="F29" s="116"/>
      <c r="G29" s="116">
        <f>G14+G16</f>
        <v>48</v>
      </c>
      <c r="H29" s="116"/>
      <c r="I29" s="116"/>
      <c r="J29" s="117"/>
      <c r="L29" s="36"/>
    </row>
    <row r="30" spans="2:12" ht="18" customHeight="1" thickBot="1" x14ac:dyDescent="0.2">
      <c r="B30" s="37" t="s">
        <v>38</v>
      </c>
      <c r="C30" s="101">
        <f>(C28-C29)/(6*C27)</f>
        <v>4.0824829046387032</v>
      </c>
      <c r="D30" s="101"/>
      <c r="E30" s="101"/>
      <c r="F30" s="101"/>
      <c r="G30" s="101">
        <f>(G28-G29)/(6*G27)</f>
        <v>1.6329931618554523</v>
      </c>
      <c r="H30" s="101"/>
      <c r="I30" s="101"/>
      <c r="J30" s="101"/>
      <c r="L30" s="36"/>
    </row>
    <row r="31" spans="2:12" ht="7.5" customHeight="1" thickBot="1" x14ac:dyDescent="0.2"/>
    <row r="32" spans="2:12" ht="17.25" customHeight="1" x14ac:dyDescent="0.15">
      <c r="B32" s="102" t="s">
        <v>39</v>
      </c>
      <c r="C32" s="103"/>
      <c r="D32" s="103"/>
      <c r="E32" s="103"/>
      <c r="F32" s="79" t="s">
        <v>40</v>
      </c>
      <c r="G32" s="104" t="s">
        <v>41</v>
      </c>
      <c r="H32" s="105"/>
      <c r="I32" s="110" t="s">
        <v>42</v>
      </c>
      <c r="J32" s="111"/>
    </row>
    <row r="33" spans="2:10" ht="17.25" customHeight="1" x14ac:dyDescent="0.15">
      <c r="B33" s="106" t="s">
        <v>43</v>
      </c>
      <c r="C33" s="107"/>
      <c r="D33" s="107"/>
      <c r="E33" s="107"/>
      <c r="F33" s="62"/>
      <c r="G33" s="108" t="s">
        <v>44</v>
      </c>
      <c r="H33" s="109"/>
      <c r="I33" s="112"/>
      <c r="J33" s="113"/>
    </row>
    <row r="34" spans="2:10" ht="18" customHeight="1" x14ac:dyDescent="0.15">
      <c r="B34" s="38"/>
      <c r="C34" s="98"/>
      <c r="D34" s="99"/>
      <c r="E34" s="39"/>
      <c r="F34" s="13"/>
      <c r="G34" s="40" t="s">
        <v>13</v>
      </c>
      <c r="H34" s="41" t="s">
        <v>75</v>
      </c>
      <c r="I34" s="42"/>
      <c r="J34" s="43"/>
    </row>
    <row r="35" spans="2:10" ht="18" customHeight="1" x14ac:dyDescent="0.15">
      <c r="B35" s="74" t="s">
        <v>45</v>
      </c>
      <c r="C35" s="100" t="s">
        <v>46</v>
      </c>
      <c r="D35" s="100"/>
      <c r="E35" s="61" t="s">
        <v>47</v>
      </c>
      <c r="F35" s="80" t="s">
        <v>48</v>
      </c>
      <c r="G35" s="63" t="s">
        <v>49</v>
      </c>
      <c r="H35" s="41" t="s">
        <v>75</v>
      </c>
      <c r="I35" s="65">
        <v>71</v>
      </c>
      <c r="J35" s="67">
        <v>74</v>
      </c>
    </row>
    <row r="36" spans="2:10" ht="18" customHeight="1" x14ac:dyDescent="0.15">
      <c r="B36" s="74"/>
      <c r="C36" s="91" t="s">
        <v>50</v>
      </c>
      <c r="D36" s="91"/>
      <c r="E36" s="62"/>
      <c r="F36" s="80"/>
      <c r="G36" s="64"/>
      <c r="H36" s="41" t="s">
        <v>75</v>
      </c>
      <c r="I36" s="66"/>
      <c r="J36" s="68"/>
    </row>
    <row r="37" spans="2:10" ht="18" customHeight="1" x14ac:dyDescent="0.15">
      <c r="B37" s="74"/>
      <c r="C37" s="100" t="s">
        <v>52</v>
      </c>
      <c r="D37" s="100"/>
      <c r="E37" s="13" t="s">
        <v>47</v>
      </c>
      <c r="F37" s="80" t="s">
        <v>53</v>
      </c>
      <c r="G37" s="39" t="s">
        <v>73</v>
      </c>
      <c r="H37" s="41" t="s">
        <v>75</v>
      </c>
      <c r="I37" s="65" t="s">
        <v>73</v>
      </c>
      <c r="J37" s="67" t="s">
        <v>73</v>
      </c>
    </row>
    <row r="38" spans="2:10" ht="18" customHeight="1" x14ac:dyDescent="0.15">
      <c r="B38" s="74"/>
      <c r="C38" s="91" t="s">
        <v>54</v>
      </c>
      <c r="D38" s="91"/>
      <c r="E38" s="14" t="s">
        <v>51</v>
      </c>
      <c r="F38" s="80"/>
      <c r="G38" s="39" t="s">
        <v>73</v>
      </c>
      <c r="H38" s="41" t="s">
        <v>75</v>
      </c>
      <c r="I38" s="66"/>
      <c r="J38" s="68"/>
    </row>
    <row r="39" spans="2:10" ht="18" customHeight="1" x14ac:dyDescent="0.15">
      <c r="B39" s="75" t="s">
        <v>55</v>
      </c>
      <c r="C39" s="95" t="s">
        <v>56</v>
      </c>
      <c r="D39" s="95"/>
      <c r="E39" s="94" t="s">
        <v>57</v>
      </c>
      <c r="F39" s="80"/>
      <c r="G39" s="61" t="s">
        <v>74</v>
      </c>
      <c r="H39" s="84" t="s">
        <v>75</v>
      </c>
      <c r="I39" s="96">
        <v>33000000000</v>
      </c>
      <c r="J39" s="97">
        <v>34000000000</v>
      </c>
    </row>
    <row r="40" spans="2:10" ht="18" customHeight="1" x14ac:dyDescent="0.15">
      <c r="B40" s="75"/>
      <c r="C40" s="91" t="s">
        <v>58</v>
      </c>
      <c r="D40" s="91"/>
      <c r="E40" s="80"/>
      <c r="F40" s="80"/>
      <c r="G40" s="62"/>
      <c r="H40" s="85"/>
      <c r="I40" s="96"/>
      <c r="J40" s="97"/>
    </row>
    <row r="41" spans="2:10" ht="18" customHeight="1" x14ac:dyDescent="0.15">
      <c r="B41" s="75"/>
      <c r="C41" s="92" t="s">
        <v>59</v>
      </c>
      <c r="D41" s="92"/>
      <c r="E41" s="80"/>
      <c r="F41" s="80"/>
      <c r="G41" s="61" t="s">
        <v>74</v>
      </c>
      <c r="H41" s="84" t="s">
        <v>75</v>
      </c>
      <c r="I41" s="96">
        <v>31000000000</v>
      </c>
      <c r="J41" s="97">
        <v>45000000000</v>
      </c>
    </row>
    <row r="42" spans="2:10" ht="18" customHeight="1" x14ac:dyDescent="0.15">
      <c r="B42" s="75"/>
      <c r="C42" s="91" t="s">
        <v>60</v>
      </c>
      <c r="D42" s="91"/>
      <c r="E42" s="80"/>
      <c r="F42" s="80"/>
      <c r="G42" s="62"/>
      <c r="H42" s="85"/>
      <c r="I42" s="96"/>
      <c r="J42" s="97"/>
    </row>
    <row r="43" spans="2:10" ht="18" customHeight="1" x14ac:dyDescent="0.15">
      <c r="B43" s="93" t="s">
        <v>61</v>
      </c>
      <c r="C43" s="80"/>
      <c r="D43" s="80"/>
      <c r="E43" s="80" t="s">
        <v>53</v>
      </c>
      <c r="F43" s="80"/>
      <c r="G43" s="13" t="s">
        <v>62</v>
      </c>
      <c r="H43" s="44" t="s">
        <v>75</v>
      </c>
      <c r="I43" s="42">
        <v>25</v>
      </c>
      <c r="J43" s="43">
        <v>25</v>
      </c>
    </row>
    <row r="44" spans="2:10" ht="18" customHeight="1" x14ac:dyDescent="0.15">
      <c r="B44" s="86" t="s">
        <v>63</v>
      </c>
      <c r="C44" s="87"/>
      <c r="D44" s="87"/>
      <c r="E44" s="87" t="s">
        <v>40</v>
      </c>
      <c r="F44" s="87"/>
      <c r="G44" s="45" t="s">
        <v>64</v>
      </c>
      <c r="H44" s="45"/>
      <c r="I44" s="88" t="s">
        <v>42</v>
      </c>
      <c r="J44" s="89"/>
    </row>
    <row r="45" spans="2:10" ht="22.5" customHeight="1" x14ac:dyDescent="0.15">
      <c r="G45" s="46" t="s">
        <v>65</v>
      </c>
      <c r="H45" s="47" t="s">
        <v>66</v>
      </c>
      <c r="I45" s="47" t="s">
        <v>67</v>
      </c>
      <c r="J45" s="48" t="s">
        <v>68</v>
      </c>
    </row>
    <row r="46" spans="2:10" ht="18" customHeight="1" x14ac:dyDescent="0.15">
      <c r="G46" s="49"/>
      <c r="H46" s="49"/>
      <c r="I46" s="50"/>
      <c r="J46" s="50"/>
    </row>
    <row r="47" spans="2:10" ht="19.5" customHeight="1" x14ac:dyDescent="0.15">
      <c r="B47" s="51" t="s">
        <v>64</v>
      </c>
      <c r="C47" s="51"/>
      <c r="D47" s="52"/>
    </row>
    <row r="60" spans="2:12" ht="9" customHeight="1" x14ac:dyDescent="0.15"/>
    <row r="61" spans="2:12" ht="15" customHeight="1" x14ac:dyDescent="0.15"/>
    <row r="62" spans="2:12" ht="15" customHeight="1" x14ac:dyDescent="0.15">
      <c r="B62" s="53" t="s">
        <v>69</v>
      </c>
      <c r="C62" s="53"/>
      <c r="D62" s="53"/>
      <c r="E62" s="53"/>
      <c r="F62" s="53"/>
      <c r="G62" s="54"/>
      <c r="H62" s="90"/>
      <c r="I62" s="90"/>
      <c r="J62" s="90"/>
    </row>
    <row r="63" spans="2:12" ht="12" customHeight="1" x14ac:dyDescent="0.15">
      <c r="B63" s="53" t="s">
        <v>70</v>
      </c>
      <c r="C63" s="53"/>
      <c r="D63" s="53"/>
      <c r="E63" s="53"/>
      <c r="F63" s="53"/>
      <c r="G63" s="54"/>
      <c r="H63" s="90"/>
      <c r="I63" s="90"/>
      <c r="J63" s="90"/>
    </row>
    <row r="64" spans="2:12" ht="33" customHeight="1" x14ac:dyDescent="0.15">
      <c r="B64" s="55"/>
      <c r="G64" s="56" t="s">
        <v>4</v>
      </c>
      <c r="H64" s="69" t="s">
        <v>71</v>
      </c>
      <c r="I64" s="69"/>
      <c r="J64" s="69"/>
      <c r="K64" s="57"/>
      <c r="L64" s="57"/>
    </row>
    <row r="65" spans="2:12" ht="37.5" customHeight="1" x14ac:dyDescent="0.15">
      <c r="G65" s="56"/>
      <c r="H65" s="69"/>
      <c r="I65" s="69"/>
      <c r="J65" s="69"/>
      <c r="K65" s="57"/>
      <c r="L65" s="57"/>
    </row>
    <row r="66" spans="2:12" ht="11.25" customHeight="1" x14ac:dyDescent="0.15">
      <c r="G66" s="58"/>
      <c r="H66" s="59"/>
      <c r="I66" s="59"/>
      <c r="J66" s="59"/>
    </row>
    <row r="67" spans="2:12" ht="18" customHeight="1" x14ac:dyDescent="0.15">
      <c r="B67" s="60"/>
      <c r="C67" s="60"/>
      <c r="D67" s="60"/>
      <c r="E67" s="60"/>
      <c r="F67" s="60"/>
      <c r="G67" s="60"/>
      <c r="H67" s="60"/>
      <c r="I67" s="60" t="s">
        <v>72</v>
      </c>
      <c r="J67" s="60"/>
    </row>
  </sheetData>
  <mergeCells count="85">
    <mergeCell ref="B2:J2"/>
    <mergeCell ref="C4:D4"/>
    <mergeCell ref="F4:G4"/>
    <mergeCell ref="I4:J4"/>
    <mergeCell ref="C5:D5"/>
    <mergeCell ref="I5:J5"/>
    <mergeCell ref="C6:D10"/>
    <mergeCell ref="F6:F10"/>
    <mergeCell ref="G6:G10"/>
    <mergeCell ref="I6:J10"/>
    <mergeCell ref="C12:F12"/>
    <mergeCell ref="G12:J12"/>
    <mergeCell ref="C13:F13"/>
    <mergeCell ref="G13:J13"/>
    <mergeCell ref="C14:F14"/>
    <mergeCell ref="G14:J14"/>
    <mergeCell ref="C15:F15"/>
    <mergeCell ref="G15:J15"/>
    <mergeCell ref="C16:F16"/>
    <mergeCell ref="G16:J16"/>
    <mergeCell ref="C17:F17"/>
    <mergeCell ref="G17:J17"/>
    <mergeCell ref="C23:F23"/>
    <mergeCell ref="G23:J23"/>
    <mergeCell ref="C24:F24"/>
    <mergeCell ref="G24:J24"/>
    <mergeCell ref="C25:F25"/>
    <mergeCell ref="G25:J25"/>
    <mergeCell ref="C26:F26"/>
    <mergeCell ref="G26:J26"/>
    <mergeCell ref="C27:F27"/>
    <mergeCell ref="G27:J27"/>
    <mergeCell ref="C28:F28"/>
    <mergeCell ref="G28:J28"/>
    <mergeCell ref="C29:F29"/>
    <mergeCell ref="G29:J29"/>
    <mergeCell ref="C30:F30"/>
    <mergeCell ref="G30:J30"/>
    <mergeCell ref="B32:E32"/>
    <mergeCell ref="G32:H32"/>
    <mergeCell ref="B33:E33"/>
    <mergeCell ref="G33:H33"/>
    <mergeCell ref="I32:J33"/>
    <mergeCell ref="C34:D34"/>
    <mergeCell ref="C35:D35"/>
    <mergeCell ref="C36:D36"/>
    <mergeCell ref="C37:D37"/>
    <mergeCell ref="C38:D38"/>
    <mergeCell ref="I44:J44"/>
    <mergeCell ref="H62:J62"/>
    <mergeCell ref="H63:J63"/>
    <mergeCell ref="C40:D40"/>
    <mergeCell ref="C41:D41"/>
    <mergeCell ref="C42:D42"/>
    <mergeCell ref="B43:D43"/>
    <mergeCell ref="E43:F43"/>
    <mergeCell ref="E39:F42"/>
    <mergeCell ref="C39:D39"/>
    <mergeCell ref="H41:H42"/>
    <mergeCell ref="I39:I40"/>
    <mergeCell ref="I41:I42"/>
    <mergeCell ref="J39:J40"/>
    <mergeCell ref="J41:J42"/>
    <mergeCell ref="H64:J64"/>
    <mergeCell ref="H65:J65"/>
    <mergeCell ref="B6:B10"/>
    <mergeCell ref="B18:B22"/>
    <mergeCell ref="B35:B38"/>
    <mergeCell ref="B39:B42"/>
    <mergeCell ref="E6:E10"/>
    <mergeCell ref="F32:F33"/>
    <mergeCell ref="F35:F36"/>
    <mergeCell ref="F37:F38"/>
    <mergeCell ref="G39:G40"/>
    <mergeCell ref="G41:G42"/>
    <mergeCell ref="H6:H10"/>
    <mergeCell ref="H39:H40"/>
    <mergeCell ref="B44:D44"/>
    <mergeCell ref="E44:F44"/>
    <mergeCell ref="E35:E36"/>
    <mergeCell ref="G35:G36"/>
    <mergeCell ref="I35:I36"/>
    <mergeCell ref="J35:J36"/>
    <mergeCell ref="I37:I38"/>
    <mergeCell ref="J37:J38"/>
  </mergeCells>
  <phoneticPr fontId="17"/>
  <printOptions horizontalCentered="1"/>
  <pageMargins left="0.31496062992126" right="0.196850393700787" top="0.196850393700787" bottom="0.196850393700787" header="0" footer="0"/>
  <pageSetup paperSize="9" scale="6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Pict="0">
                <anchor moveWithCells="1">
                  <from>
                    <xdr:col>8</xdr:col>
                    <xdr:colOff>152400</xdr:colOff>
                    <xdr:row>2</xdr:row>
                    <xdr:rowOff>66675</xdr:rowOff>
                  </from>
                  <to>
                    <xdr:col>8</xdr:col>
                    <xdr:colOff>457200</xdr:colOff>
                    <xdr:row>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Pict="0">
                <anchor moveWithCells="1">
                  <from>
                    <xdr:col>9</xdr:col>
                    <xdr:colOff>238125</xdr:colOff>
                    <xdr:row>2</xdr:row>
                    <xdr:rowOff>85725</xdr:rowOff>
                  </from>
                  <to>
                    <xdr:col>9</xdr:col>
                    <xdr:colOff>542925</xdr:colOff>
                    <xdr:row>2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24091301</vt:lpstr>
      <vt:lpstr>'24091301'!Print_Area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lifuji@virtue-elec.com</cp:lastModifiedBy>
  <cp:lastPrinted>2024-07-26T10:38:00Z</cp:lastPrinted>
  <dcterms:created xsi:type="dcterms:W3CDTF">2024-05-10T01:45:00Z</dcterms:created>
  <dcterms:modified xsi:type="dcterms:W3CDTF">2026-01-27T02:30:00Z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E5ABCD47F6204E54B266D57CB3553649_13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