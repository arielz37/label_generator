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225" windowHeight="5685" activeTab="1"/>
  </bookViews>
  <sheets>
    <sheet name="送货单" sheetId="23" r:id="rId1"/>
    <sheet name="送货单 (2)" sheetId="26" r:id="rId2"/>
    <sheet name="标签" sheetId="25" r:id="rId3"/>
  </sheets>
  <definedNames>
    <definedName name="_xlnm.Print_Area" localSheetId="2">标签!$A$1:$A$7</definedName>
    <definedName name="_xlnm.Print_Area" localSheetId="0">送货单!$B$1:$L$11</definedName>
    <definedName name="_xlnm.Print_Area" localSheetId="1">'送货单 (2)'!$B$1:$L$11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EFAE31656E2A40CBAF049BD3EE4085F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715250" y="2645410"/>
          <a:ext cx="4429125" cy="44005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<sst xmlns="http://schemas.openxmlformats.org/spreadsheetml/2006/main" count="99" uniqueCount="49">
  <si>
    <t>蘇州瑞福龍電子有限公司</t>
  </si>
  <si>
    <r>
      <rPr>
        <b/>
        <sz val="20"/>
        <color theme="1"/>
        <rFont val="Times New Roman"/>
        <charset val="134"/>
      </rPr>
      <t xml:space="preserve">   </t>
    </r>
    <r>
      <rPr>
        <b/>
        <sz val="20"/>
        <color indexed="8"/>
        <rFont val="宋体"/>
        <charset val="134"/>
      </rPr>
      <t>送</t>
    </r>
    <r>
      <rPr>
        <b/>
        <sz val="20"/>
        <color indexed="8"/>
        <rFont val="Times New Roman"/>
        <charset val="134"/>
      </rPr>
      <t xml:space="preserve">   </t>
    </r>
    <r>
      <rPr>
        <b/>
        <sz val="20"/>
        <color indexed="8"/>
        <rFont val="宋体"/>
        <charset val="134"/>
      </rPr>
      <t>货</t>
    </r>
    <r>
      <rPr>
        <b/>
        <sz val="20"/>
        <color indexed="8"/>
        <rFont val="Times New Roman"/>
        <charset val="134"/>
      </rPr>
      <t xml:space="preserve">   </t>
    </r>
    <r>
      <rPr>
        <b/>
        <sz val="20"/>
        <color indexed="8"/>
        <rFont val="宋体"/>
        <charset val="134"/>
      </rPr>
      <t>单</t>
    </r>
    <r>
      <rPr>
        <b/>
        <sz val="20"/>
        <color indexed="8"/>
        <rFont val="Times New Roman"/>
        <charset val="134"/>
      </rPr>
      <t xml:space="preserve">                  </t>
    </r>
    <r>
      <rPr>
        <b/>
        <sz val="20"/>
        <color indexed="8"/>
        <rFont val="宋体"/>
        <charset val="134"/>
      </rPr>
      <t>　</t>
    </r>
  </si>
  <si>
    <t>VIRTUE Electronics Co.,Ltd.</t>
  </si>
  <si>
    <r>
      <rPr>
        <sz val="14"/>
        <color theme="1"/>
        <rFont val="宋体"/>
        <charset val="134"/>
      </rPr>
      <t>Ｎｏ．</t>
    </r>
  </si>
  <si>
    <t>260610-1</t>
  </si>
  <si>
    <t xml:space="preserve">客户名称 </t>
  </si>
  <si>
    <t>浙江鸿星电子科技有限公司</t>
  </si>
  <si>
    <t xml:space="preserve"> </t>
  </si>
  <si>
    <t>送货日期：</t>
  </si>
  <si>
    <t>前期</t>
  </si>
  <si>
    <t>后期</t>
  </si>
  <si>
    <r>
      <rPr>
        <b/>
        <sz val="12"/>
        <color theme="1"/>
        <rFont val="m"/>
        <charset val="134"/>
      </rPr>
      <t>客户</t>
    </r>
    <r>
      <rPr>
        <b/>
        <sz val="12"/>
        <color theme="1"/>
        <rFont val="Times New Roman"/>
        <charset val="134"/>
      </rPr>
      <t>P/O No.</t>
    </r>
  </si>
  <si>
    <r>
      <rPr>
        <b/>
        <sz val="12"/>
        <color indexed="8"/>
        <rFont val="Times New Roman"/>
        <charset val="134"/>
      </rPr>
      <t xml:space="preserve"> </t>
    </r>
    <r>
      <rPr>
        <b/>
        <sz val="12"/>
        <color indexed="8"/>
        <rFont val="m"/>
        <charset val="134"/>
      </rPr>
      <t>品名</t>
    </r>
  </si>
  <si>
    <r>
      <rPr>
        <b/>
        <sz val="12"/>
        <color indexed="8"/>
        <rFont val="Times New Roman"/>
        <charset val="134"/>
      </rPr>
      <t xml:space="preserve"> </t>
    </r>
    <r>
      <rPr>
        <b/>
        <sz val="12"/>
        <color indexed="8"/>
        <rFont val="m"/>
        <charset val="134"/>
      </rPr>
      <t>料件编号</t>
    </r>
    <r>
      <rPr>
        <b/>
        <sz val="12"/>
        <color indexed="8"/>
        <rFont val="Times New Roman"/>
        <charset val="134"/>
      </rPr>
      <t xml:space="preserve"> / </t>
    </r>
    <r>
      <rPr>
        <b/>
        <sz val="12"/>
        <color indexed="8"/>
        <rFont val="m"/>
        <charset val="134"/>
      </rPr>
      <t>规格</t>
    </r>
  </si>
  <si>
    <r>
      <rPr>
        <b/>
        <sz val="12"/>
        <color theme="1"/>
        <rFont val="m"/>
        <charset val="134"/>
      </rPr>
      <t>数量（</t>
    </r>
    <r>
      <rPr>
        <b/>
        <sz val="12"/>
        <color theme="1"/>
        <rFont val="Times New Roman"/>
        <charset val="134"/>
      </rPr>
      <t>R</t>
    </r>
    <r>
      <rPr>
        <b/>
        <sz val="12"/>
        <color theme="1"/>
        <rFont val="m"/>
        <charset val="134"/>
      </rPr>
      <t>）</t>
    </r>
  </si>
  <si>
    <t>批次号</t>
  </si>
  <si>
    <r>
      <rPr>
        <b/>
        <sz val="12"/>
        <color theme="1"/>
        <rFont val="m"/>
        <charset val="134"/>
      </rPr>
      <t>二维码</t>
    </r>
  </si>
  <si>
    <r>
      <rPr>
        <b/>
        <sz val="12"/>
        <color theme="1"/>
        <rFont val="m"/>
        <charset val="134"/>
      </rPr>
      <t>合计</t>
    </r>
    <r>
      <rPr>
        <b/>
        <sz val="12"/>
        <color theme="1"/>
        <rFont val="Times New Roman"/>
        <charset val="134"/>
      </rPr>
      <t>(M)</t>
    </r>
  </si>
  <si>
    <r>
      <rPr>
        <b/>
        <sz val="12"/>
        <color theme="1"/>
        <rFont val="m"/>
        <charset val="134"/>
      </rPr>
      <t>订单残数</t>
    </r>
    <r>
      <rPr>
        <b/>
        <sz val="12"/>
        <color theme="1"/>
        <rFont val="Times New Roman"/>
        <charset val="134"/>
      </rPr>
      <t>(R)</t>
    </r>
  </si>
  <si>
    <t>备注</t>
  </si>
  <si>
    <t>订单总数量</t>
  </si>
  <si>
    <t>订单残数</t>
  </si>
  <si>
    <t>项次</t>
  </si>
  <si>
    <t xml:space="preserve"> QP2A2-2605000012</t>
  </si>
  <si>
    <r>
      <rPr>
        <sz val="12"/>
        <color theme="1"/>
        <rFont val="宋体"/>
        <charset val="134"/>
      </rPr>
      <t>底胶带</t>
    </r>
    <r>
      <rPr>
        <sz val="12"/>
        <color theme="1"/>
        <rFont val="Times New Roman"/>
        <charset val="134"/>
      </rPr>
      <t xml:space="preserve">/3225     </t>
    </r>
  </si>
  <si>
    <t>XPBAF3225-001 /                             W=8 3.4*2.7*0.8 500M 3225</t>
  </si>
  <si>
    <t>MO26051091
MO26051079
MO26051092
MO26051080
MO26051093</t>
  </si>
  <si>
    <t>647R</t>
  </si>
  <si>
    <t>800卷有两个项次注意</t>
  </si>
  <si>
    <t>400R</t>
  </si>
  <si>
    <t xml:space="preserve">  QP2A2-2605000012</t>
  </si>
  <si>
    <r>
      <rPr>
        <sz val="12"/>
        <color theme="1"/>
        <rFont val="宋体"/>
        <charset val="134"/>
      </rPr>
      <t>上胶带</t>
    </r>
    <r>
      <rPr>
        <sz val="12"/>
        <color theme="1"/>
        <rFont val="Times New Roman"/>
        <charset val="134"/>
      </rPr>
      <t xml:space="preserve">                     </t>
    </r>
  </si>
  <si>
    <r>
      <rPr>
        <sz val="12"/>
        <color theme="1"/>
        <rFont val="Times New Roman"/>
        <charset val="134"/>
      </rPr>
      <t xml:space="preserve">XPBBF-001 /                                             5.3*300M VHSTD </t>
    </r>
    <r>
      <rPr>
        <sz val="12"/>
        <color theme="1"/>
        <rFont val="宋体"/>
        <charset val="134"/>
      </rPr>
      <t>透明</t>
    </r>
  </si>
  <si>
    <t>MO26051026
MO26052129</t>
  </si>
  <si>
    <t>1000R</t>
  </si>
  <si>
    <t>1300卷有两个项次注意</t>
  </si>
  <si>
    <t>600R</t>
  </si>
  <si>
    <t>700R</t>
  </si>
  <si>
    <r>
      <rPr>
        <sz val="12"/>
        <color theme="1"/>
        <rFont val="Times New Roman"/>
        <charset val="134"/>
      </rPr>
      <t xml:space="preserve">  </t>
    </r>
    <r>
      <rPr>
        <sz val="12"/>
        <color rgb="FF000000"/>
        <rFont val="宋体"/>
        <charset val="134"/>
      </rPr>
      <t>★</t>
    </r>
    <r>
      <rPr>
        <sz val="12"/>
        <color rgb="FF000000"/>
        <rFont val="Times New Roman"/>
        <charset val="134"/>
      </rPr>
      <t xml:space="preserve"> </t>
    </r>
    <r>
      <rPr>
        <sz val="12"/>
        <color rgb="FF000000"/>
        <rFont val="宋体"/>
        <charset val="134"/>
      </rPr>
      <t>随货</t>
    </r>
    <r>
      <rPr>
        <sz val="12"/>
        <color rgb="FF000000"/>
        <rFont val="Times New Roman"/>
        <charset val="134"/>
      </rPr>
      <t>:</t>
    </r>
    <r>
      <rPr>
        <sz val="12"/>
        <color rgb="FF000000"/>
        <rFont val="宋体"/>
        <charset val="134"/>
      </rPr>
      <t>产品检验报告；其它：</t>
    </r>
    <r>
      <rPr>
        <sz val="12"/>
        <color rgb="FF000000"/>
        <rFont val="Times New Roman"/>
        <charset val="134"/>
      </rPr>
      <t xml:space="preserve"> </t>
    </r>
    <r>
      <rPr>
        <sz val="12"/>
        <color rgb="FF000000"/>
        <rFont val="宋体"/>
        <charset val="134"/>
      </rPr>
      <t>有</t>
    </r>
    <r>
      <rPr>
        <sz val="12"/>
        <color rgb="FF000000"/>
        <rFont val="Times New Roman"/>
        <charset val="134"/>
      </rPr>
      <t xml:space="preserve"> / </t>
    </r>
    <r>
      <rPr>
        <sz val="12"/>
        <color rgb="FF000000"/>
        <rFont val="宋体"/>
        <charset val="134"/>
      </rPr>
      <t>无</t>
    </r>
    <r>
      <rPr>
        <sz val="12"/>
        <color rgb="FF000000"/>
        <rFont val="Times New Roman"/>
        <charset val="134"/>
      </rPr>
      <t xml:space="preserve">     </t>
    </r>
    <r>
      <rPr>
        <sz val="12"/>
        <color rgb="FF000000"/>
        <rFont val="宋体"/>
        <charset val="134"/>
      </rPr>
      <t>内容：</t>
    </r>
    <r>
      <rPr>
        <sz val="12"/>
        <color rgb="FF000000"/>
        <rFont val="Times New Roman"/>
        <charset val="134"/>
      </rPr>
      <t xml:space="preserve"> </t>
    </r>
  </si>
  <si>
    <r>
      <rPr>
        <sz val="12"/>
        <color theme="1"/>
        <rFont val="Times New Roman"/>
        <charset val="134"/>
      </rPr>
      <t xml:space="preserve">* </t>
    </r>
    <r>
      <rPr>
        <sz val="12"/>
        <color indexed="8"/>
        <rFont val="宋体"/>
        <charset val="134"/>
      </rPr>
      <t>送货单上之名称规格料号等填写不得随意更改。</t>
    </r>
  </si>
  <si>
    <r>
      <rPr>
        <sz val="12"/>
        <color theme="1"/>
        <rFont val="宋体"/>
        <charset val="134"/>
      </rPr>
      <t>签收人</t>
    </r>
  </si>
  <si>
    <r>
      <rPr>
        <sz val="12"/>
        <color indexed="8"/>
        <rFont val="宋体"/>
        <charset val="134"/>
      </rPr>
      <t>送货人</t>
    </r>
  </si>
  <si>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业务</t>
    </r>
  </si>
  <si>
    <r>
      <rPr>
        <sz val="12"/>
        <rFont val="宋体"/>
        <charset val="134"/>
      </rPr>
      <t>陈晓艳</t>
    </r>
  </si>
  <si>
    <t>　</t>
  </si>
  <si>
    <t>260616-1</t>
  </si>
  <si>
    <t>MO26051092 MO26051094  MO26051095  MO26051096  MO26051097    MO26051102   MO26051093</t>
  </si>
  <si>
    <t>MO26052129
MO26052132</t>
  </si>
  <si>
    <t>内付送货单，检测表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</si>
</sst>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1">
    <font>
      <sz val="12"/>
      <name val="宋体"/>
      <charset val="134"/>
    </font>
    <font>
      <b/>
      <sz val="72"/>
      <name val="宋体"/>
      <charset val="134"/>
    </font>
    <font>
      <sz val="12"/>
      <color theme="1"/>
      <name val="m"/>
      <charset val="134"/>
    </font>
    <font>
      <sz val="11"/>
      <color theme="1"/>
      <name val="宋体"/>
      <charset val="134"/>
    </font>
    <font>
      <sz val="12"/>
      <color theme="1"/>
      <name val="宋体"/>
      <charset val="134"/>
    </font>
    <font>
      <b/>
      <sz val="12"/>
      <color rgb="FFFF0000"/>
      <name val="宋体"/>
      <charset val="134"/>
    </font>
    <font>
      <b/>
      <sz val="17"/>
      <color theme="1"/>
      <name val="宋体"/>
      <charset val="134"/>
    </font>
    <font>
      <b/>
      <sz val="20"/>
      <color theme="1"/>
      <name val="Times New Roman"/>
      <charset val="134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sz val="14"/>
      <color theme="1"/>
      <name val="Times New Roman"/>
      <charset val="134"/>
    </font>
    <font>
      <sz val="14"/>
      <name val="Times New Roman"/>
      <charset val="134"/>
    </font>
    <font>
      <sz val="16"/>
      <color theme="1"/>
      <name val="m"/>
      <charset val="134"/>
    </font>
    <font>
      <sz val="16"/>
      <color indexed="8"/>
      <name val="m"/>
      <charset val="134"/>
    </font>
    <font>
      <sz val="16"/>
      <name val="m"/>
      <charset val="134"/>
    </font>
    <font>
      <b/>
      <sz val="12"/>
      <color rgb="FFFF0000"/>
      <name val="m"/>
      <charset val="134"/>
    </font>
    <font>
      <b/>
      <sz val="12"/>
      <color rgb="FF0000FF"/>
      <name val="m"/>
      <charset val="134"/>
    </font>
    <font>
      <b/>
      <sz val="12"/>
      <color indexed="8"/>
      <name val="Times New Roman"/>
      <charset val="134"/>
    </font>
    <font>
      <b/>
      <sz val="12"/>
      <color theme="1"/>
      <name val="m"/>
      <charset val="134"/>
    </font>
    <font>
      <b/>
      <sz val="11"/>
      <color rgb="FFFF0000"/>
      <name val="宋体"/>
      <charset val="134"/>
    </font>
    <font>
      <b/>
      <sz val="11"/>
      <color rgb="FF0000FF"/>
      <name val="宋体"/>
      <charset val="134"/>
    </font>
    <font>
      <sz val="12"/>
      <color indexed="8"/>
      <name val="Times New Roman"/>
      <charset val="134"/>
    </font>
    <font>
      <sz val="12"/>
      <name val="Times New Roman"/>
      <charset val="134"/>
    </font>
    <font>
      <b/>
      <sz val="12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宋体"/>
      <charset val="134"/>
    </font>
    <font>
      <b/>
      <sz val="12"/>
      <color indexed="8"/>
      <name val="m"/>
      <charset val="134"/>
    </font>
    <font>
      <b/>
      <sz val="20"/>
      <color indexed="8"/>
      <name val="宋体"/>
      <charset val="134"/>
    </font>
    <font>
      <b/>
      <sz val="20"/>
      <color indexed="8"/>
      <name val="Times New Roman"/>
      <charset val="134"/>
    </font>
    <font>
      <sz val="12"/>
      <color rgb="FF000000"/>
      <name val="宋体"/>
      <charset val="134"/>
    </font>
    <font>
      <sz val="12"/>
      <color rgb="FF000000"/>
      <name val="Times New Roman"/>
      <charset val="134"/>
    </font>
    <font>
      <sz val="14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24" fillId="0" borderId="0" applyFont="0" applyFill="0" applyBorder="0" applyAlignment="0" applyProtection="0">
      <alignment vertical="center"/>
    </xf>
    <xf numFmtId="44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2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4" borderId="24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31" fillId="0" borderId="25" applyNumberFormat="0" applyFill="0" applyAlignment="0" applyProtection="0">
      <alignment vertical="center"/>
    </xf>
    <xf numFmtId="0" fontId="32" fillId="0" borderId="26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5" borderId="27" applyNumberFormat="0" applyAlignment="0" applyProtection="0">
      <alignment vertical="center"/>
    </xf>
    <xf numFmtId="0" fontId="34" fillId="6" borderId="28" applyNumberFormat="0" applyAlignment="0" applyProtection="0">
      <alignment vertical="center"/>
    </xf>
    <xf numFmtId="0" fontId="35" fillId="6" borderId="27" applyNumberFormat="0" applyAlignment="0" applyProtection="0">
      <alignment vertical="center"/>
    </xf>
    <xf numFmtId="0" fontId="36" fillId="7" borderId="29" applyNumberFormat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0" fillId="0" borderId="0"/>
  </cellStyleXfs>
  <cellXfs count="7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2" borderId="3" xfId="0" applyFont="1" applyFill="1" applyBorder="1"/>
    <xf numFmtId="0" fontId="8" fillId="2" borderId="4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2" borderId="6" xfId="0" applyFont="1" applyFill="1" applyBorder="1" applyAlignment="1">
      <alignment vertical="center"/>
    </xf>
    <xf numFmtId="0" fontId="10" fillId="2" borderId="6" xfId="0" applyFont="1" applyFill="1" applyBorder="1" applyAlignment="1">
      <alignment horizontal="right" vertical="center"/>
    </xf>
    <xf numFmtId="0" fontId="11" fillId="2" borderId="7" xfId="0" applyFont="1" applyFill="1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center" vertical="center"/>
    </xf>
    <xf numFmtId="31" fontId="13" fillId="0" borderId="3" xfId="0" applyNumberFormat="1" applyFont="1" applyBorder="1" applyAlignment="1">
      <alignment horizontal="center" vertical="center"/>
    </xf>
    <xf numFmtId="31" fontId="14" fillId="0" borderId="3" xfId="0" applyNumberFormat="1" applyFont="1" applyBorder="1" applyAlignment="1">
      <alignment horizontal="center" vertical="center"/>
    </xf>
    <xf numFmtId="14" fontId="12" fillId="0" borderId="3" xfId="0" applyNumberFormat="1" applyFont="1" applyBorder="1" applyAlignment="1">
      <alignment vertical="center"/>
    </xf>
    <xf numFmtId="0" fontId="12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9" fillId="3" borderId="8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18" fillId="0" borderId="9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58" fontId="15" fillId="0" borderId="0" xfId="0" applyNumberFormat="1" applyFont="1"/>
    <xf numFmtId="0" fontId="15" fillId="0" borderId="0" xfId="0" applyFont="1"/>
    <xf numFmtId="0" fontId="16" fillId="0" borderId="0" xfId="0" applyFont="1"/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8" fillId="0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vertical="center"/>
    </xf>
    <xf numFmtId="0" fontId="8" fillId="0" borderId="18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4" fillId="0" borderId="5" xfId="0" applyFont="1" applyBorder="1"/>
    <xf numFmtId="0" fontId="4" fillId="0" borderId="6" xfId="0" applyFont="1" applyBorder="1"/>
    <xf numFmtId="0" fontId="4" fillId="0" borderId="6" xfId="0" applyFont="1" applyBorder="1" applyAlignment="1">
      <alignment vertical="center"/>
    </xf>
    <xf numFmtId="0" fontId="8" fillId="0" borderId="19" xfId="0" applyFont="1" applyBorder="1"/>
    <xf numFmtId="0" fontId="8" fillId="0" borderId="19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3" fillId="0" borderId="0" xfId="0" applyFont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tableStyles count="0" defaultTableStyle="TableStyleMedium9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331471</xdr:colOff>
      <xdr:row>0</xdr:row>
      <xdr:rowOff>152401</xdr:rowOff>
    </xdr:from>
    <xdr:to>
      <xdr:col>2</xdr:col>
      <xdr:colOff>514351</xdr:colOff>
      <xdr:row>1</xdr:row>
      <xdr:rowOff>314326</xdr:rowOff>
    </xdr:to>
    <xdr:pic>
      <xdr:nvPicPr>
        <xdr:cNvPr id="1164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436245" y="152400"/>
          <a:ext cx="109728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331471</xdr:colOff>
      <xdr:row>0</xdr:row>
      <xdr:rowOff>152401</xdr:rowOff>
    </xdr:from>
    <xdr:to>
      <xdr:col>2</xdr:col>
      <xdr:colOff>514351</xdr:colOff>
      <xdr:row>1</xdr:row>
      <xdr:rowOff>314326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436245" y="152400"/>
          <a:ext cx="109728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Y26"/>
  <sheetViews>
    <sheetView view="pageBreakPreview" zoomScale="80" zoomScaleNormal="100" workbookViewId="0">
      <selection activeCell="B7" sqref="B7:L7"/>
    </sheetView>
  </sheetViews>
  <sheetFormatPr defaultColWidth="9" defaultRowHeight="14.25"/>
  <cols>
    <col min="1" max="1" width="1.375" style="5" customWidth="1"/>
    <col min="2" max="3" width="12" style="5" customWidth="1"/>
    <col min="4" max="4" width="15.625" style="5" customWidth="1"/>
    <col min="5" max="6" width="12" style="5" customWidth="1"/>
    <col min="7" max="8" width="15.625" style="5" customWidth="1"/>
    <col min="9" max="9" width="16.625" style="5" customWidth="1"/>
    <col min="10" max="12" width="15.625" style="5" customWidth="1"/>
    <col min="13" max="13" width="9" style="5"/>
    <col min="14" max="14" width="12.625" style="5" customWidth="1"/>
    <col min="15" max="19" width="9" style="5"/>
    <col min="20" max="20" width="20.75" style="5" customWidth="1"/>
    <col min="21" max="21" width="9" style="6"/>
    <col min="22" max="23" width="9" style="5"/>
    <col min="24" max="24" width="9" style="6"/>
    <col min="25" max="16384" width="9" style="5"/>
  </cols>
  <sheetData>
    <row r="1" ht="35.25" customHeight="1" spans="2:25">
      <c r="B1" s="7" t="s">
        <v>0</v>
      </c>
      <c r="C1" s="8"/>
      <c r="D1" s="8"/>
      <c r="E1" s="8"/>
      <c r="F1" s="8"/>
      <c r="G1" s="8"/>
      <c r="H1" s="8"/>
      <c r="I1" s="9" t="s">
        <v>1</v>
      </c>
      <c r="J1" s="9"/>
      <c r="K1" s="9"/>
      <c r="L1" s="10"/>
    </row>
    <row r="2" ht="27" customHeight="1" spans="2:25">
      <c r="B2" s="11" t="s">
        <v>2</v>
      </c>
      <c r="C2" s="12"/>
      <c r="D2" s="12"/>
      <c r="E2" s="12"/>
      <c r="F2" s="12"/>
      <c r="G2" s="12"/>
      <c r="H2" s="12"/>
      <c r="I2" s="13"/>
      <c r="J2" s="14"/>
      <c r="K2" s="14" t="s">
        <v>3</v>
      </c>
      <c r="L2" s="15" t="s">
        <v>4</v>
      </c>
    </row>
    <row r="3" s="2" customFormat="1" ht="57" customHeight="1" spans="2:25">
      <c r="B3" s="16" t="s">
        <v>5</v>
      </c>
      <c r="C3" s="17" t="s">
        <v>6</v>
      </c>
      <c r="D3" s="17"/>
      <c r="E3" s="17"/>
      <c r="F3" s="17"/>
      <c r="G3" s="18" t="s">
        <v>7</v>
      </c>
      <c r="H3" s="18" t="s">
        <v>7</v>
      </c>
      <c r="I3" s="19" t="s">
        <v>7</v>
      </c>
      <c r="J3" s="20" t="s">
        <v>8</v>
      </c>
      <c r="K3" s="21">
        <v>46183</v>
      </c>
      <c r="L3" s="22"/>
      <c r="U3" s="23" t="s">
        <v>9</v>
      </c>
      <c r="X3" s="24" t="s">
        <v>10</v>
      </c>
    </row>
    <row r="4" s="2" customFormat="1" ht="30" customHeight="1" spans="2:25">
      <c r="B4" s="25" t="s">
        <v>11</v>
      </c>
      <c r="C4" s="26"/>
      <c r="D4" s="27" t="s">
        <v>12</v>
      </c>
      <c r="E4" s="27" t="s">
        <v>13</v>
      </c>
      <c r="F4" s="27"/>
      <c r="G4" s="28" t="s">
        <v>14</v>
      </c>
      <c r="H4" s="29" t="s">
        <v>15</v>
      </c>
      <c r="I4" s="30" t="s">
        <v>16</v>
      </c>
      <c r="J4" s="28" t="s">
        <v>17</v>
      </c>
      <c r="K4" s="28" t="s">
        <v>18</v>
      </c>
      <c r="L4" s="31" t="s">
        <v>19</v>
      </c>
      <c r="N4" s="32" t="s">
        <v>20</v>
      </c>
      <c r="O4" s="33">
        <v>46171</v>
      </c>
      <c r="P4" s="33">
        <v>46183</v>
      </c>
      <c r="Q4" s="34" t="s">
        <v>21</v>
      </c>
      <c r="U4" s="23" t="s">
        <v>22</v>
      </c>
      <c r="V4" s="34"/>
      <c r="X4" s="24" t="s">
        <v>22</v>
      </c>
      <c r="Y4" s="35"/>
    </row>
    <row r="5" s="3" customFormat="1" ht="120" customHeight="1" spans="2:25">
      <c r="B5" s="36" t="s">
        <v>23</v>
      </c>
      <c r="C5" s="37"/>
      <c r="D5" s="38" t="s">
        <v>24</v>
      </c>
      <c r="E5" s="38" t="s">
        <v>25</v>
      </c>
      <c r="F5" s="38"/>
      <c r="G5" s="39">
        <v>90</v>
      </c>
      <c r="H5" s="40" t="s">
        <v>26</v>
      </c>
      <c r="I5" s="41" t="str">
        <f>_xlfn.DISPIMG("ID_EFAE31656E2A40CBAF049BD3EE4085F0",1)</f>
        <v>=DISPIMG("ID_EFAE31656E2A40CBAF049BD3EE4085F0",1)</v>
      </c>
      <c r="J5" s="40">
        <f>G5*500</f>
        <v>45000</v>
      </c>
      <c r="K5" s="39" t="s">
        <v>27</v>
      </c>
      <c r="L5" s="42"/>
      <c r="N5" s="43">
        <f>400+400</f>
        <v>800</v>
      </c>
      <c r="O5" s="44">
        <v>63</v>
      </c>
      <c r="P5" s="44">
        <v>90</v>
      </c>
      <c r="Q5" s="44">
        <f>N5-O5-P5</f>
        <v>647</v>
      </c>
      <c r="T5" s="44" t="s">
        <v>28</v>
      </c>
      <c r="U5" s="45">
        <v>1</v>
      </c>
      <c r="V5" s="44" t="s">
        <v>29</v>
      </c>
      <c r="X5" s="46">
        <v>3</v>
      </c>
      <c r="Y5" s="47" t="s">
        <v>29</v>
      </c>
    </row>
    <row r="6" s="3" customFormat="1" ht="120" customHeight="1" spans="2:25">
      <c r="B6" s="36" t="s">
        <v>30</v>
      </c>
      <c r="C6" s="37"/>
      <c r="D6" s="38" t="s">
        <v>31</v>
      </c>
      <c r="E6" s="38" t="s">
        <v>32</v>
      </c>
      <c r="F6" s="38"/>
      <c r="G6" s="39">
        <v>200</v>
      </c>
      <c r="H6" s="40" t="s">
        <v>33</v>
      </c>
      <c r="I6" s="48"/>
      <c r="J6" s="40">
        <f>G6*300</f>
        <v>60000</v>
      </c>
      <c r="K6" s="39" t="s">
        <v>34</v>
      </c>
      <c r="L6" s="49"/>
      <c r="N6" s="43">
        <f>600+700</f>
        <v>1300</v>
      </c>
      <c r="O6" s="44">
        <v>100</v>
      </c>
      <c r="P6" s="44">
        <v>200</v>
      </c>
      <c r="Q6" s="44">
        <f>N6-O6-P6</f>
        <v>1000</v>
      </c>
      <c r="T6" s="44" t="s">
        <v>35</v>
      </c>
      <c r="U6" s="45">
        <v>2</v>
      </c>
      <c r="V6" s="44" t="s">
        <v>36</v>
      </c>
      <c r="X6" s="46">
        <v>4</v>
      </c>
      <c r="Y6" s="47" t="s">
        <v>37</v>
      </c>
    </row>
    <row r="7" s="4" customFormat="1" ht="30" customHeight="1" spans="2:25">
      <c r="B7" s="50" t="s">
        <v>38</v>
      </c>
      <c r="C7" s="51"/>
      <c r="D7" s="51"/>
      <c r="E7" s="51"/>
      <c r="F7" s="51"/>
      <c r="G7" s="51"/>
      <c r="H7" s="51"/>
      <c r="I7" s="51"/>
      <c r="J7" s="51"/>
      <c r="K7" s="51"/>
      <c r="L7" s="52"/>
      <c r="N7" s="5"/>
      <c r="U7" s="43"/>
      <c r="X7" s="43"/>
    </row>
    <row r="8" s="4" customFormat="1" ht="23.25" customHeight="1" spans="2:25">
      <c r="B8" s="53" t="s">
        <v>39</v>
      </c>
      <c r="C8" s="54"/>
      <c r="D8" s="54"/>
      <c r="E8" s="54"/>
      <c r="F8" s="54"/>
      <c r="G8" s="54"/>
      <c r="H8" s="54"/>
      <c r="I8" s="54"/>
      <c r="J8" s="54"/>
      <c r="K8" s="54"/>
      <c r="L8" s="55"/>
      <c r="N8" s="5"/>
      <c r="U8" s="43"/>
      <c r="X8" s="43"/>
    </row>
    <row r="9" s="4" customFormat="1" ht="12" customHeight="1" spans="2:25">
      <c r="B9" s="56"/>
      <c r="C9" s="57"/>
      <c r="D9" s="57"/>
      <c r="E9" s="57"/>
      <c r="F9" s="57"/>
      <c r="G9" s="57"/>
      <c r="H9" s="57"/>
      <c r="I9" s="57"/>
      <c r="J9" s="57"/>
      <c r="K9" s="57"/>
      <c r="L9" s="58"/>
      <c r="N9" s="5"/>
      <c r="U9" s="43"/>
      <c r="X9" s="43"/>
    </row>
    <row r="10" s="4" customFormat="1" ht="30.75" customHeight="1" spans="2:25">
      <c r="B10" s="59"/>
      <c r="E10" s="60"/>
      <c r="J10" s="37" t="s">
        <v>40</v>
      </c>
      <c r="K10" s="61" t="s">
        <v>41</v>
      </c>
      <c r="L10" s="62" t="s">
        <v>42</v>
      </c>
      <c r="U10" s="43"/>
      <c r="X10" s="43"/>
    </row>
    <row r="11" s="4" customFormat="1" ht="36.75" customHeight="1" spans="2:25">
      <c r="B11" s="63"/>
      <c r="C11" s="64"/>
      <c r="D11" s="64"/>
      <c r="E11" s="64"/>
      <c r="F11" s="65"/>
      <c r="G11" s="65"/>
      <c r="H11" s="65"/>
      <c r="I11" s="65"/>
      <c r="J11" s="66"/>
      <c r="K11" s="67"/>
      <c r="L11" s="68" t="s">
        <v>43</v>
      </c>
      <c r="U11" s="43"/>
      <c r="X11" s="43"/>
    </row>
    <row r="12" s="4" customFormat="1" ht="9" customHeight="1" spans="2:25">
      <c r="B12" s="5"/>
      <c r="C12" s="5"/>
      <c r="D12" s="5"/>
      <c r="E12" s="5"/>
      <c r="F12" s="5"/>
      <c r="G12" s="5"/>
      <c r="H12" s="5"/>
      <c r="I12" s="5"/>
      <c r="J12" s="5"/>
      <c r="K12" s="5"/>
      <c r="U12" s="43"/>
      <c r="X12" s="43"/>
    </row>
    <row r="13" s="4" customFormat="1" ht="16.5" customHeight="1" spans="2:25">
      <c r="B13" s="5"/>
      <c r="C13" s="5"/>
      <c r="D13" s="5"/>
      <c r="E13" s="5"/>
      <c r="F13" s="5" t="s">
        <v>44</v>
      </c>
      <c r="G13" s="5"/>
      <c r="H13" s="5"/>
      <c r="I13" s="5"/>
      <c r="J13" s="5"/>
      <c r="K13" s="5"/>
      <c r="U13" s="43"/>
      <c r="X13" s="43"/>
    </row>
    <row r="14" s="4" customFormat="1" ht="16.5" customHeight="1" spans="2:25">
      <c r="B14" s="5"/>
      <c r="C14" s="5"/>
      <c r="D14" s="5"/>
      <c r="E14" s="5"/>
      <c r="F14" s="5"/>
      <c r="G14" s="5"/>
      <c r="H14" s="5"/>
      <c r="I14" s="5"/>
      <c r="J14" s="5"/>
      <c r="K14" s="5"/>
      <c r="U14" s="43"/>
      <c r="X14" s="43"/>
    </row>
    <row r="15" s="4" customFormat="1" ht="15.75" customHeight="1" spans="2:25">
      <c r="B15" s="5"/>
      <c r="C15" s="5"/>
      <c r="D15" s="5"/>
      <c r="E15" s="5"/>
      <c r="F15" s="5"/>
      <c r="G15" s="5"/>
      <c r="H15" s="5"/>
      <c r="I15" s="5"/>
      <c r="J15" s="5"/>
      <c r="K15" s="5"/>
      <c r="L15" s="69"/>
      <c r="U15" s="43"/>
      <c r="X15" s="43"/>
    </row>
    <row r="16" s="4" customFormat="1" ht="15.75" customHeight="1" spans="2:25">
      <c r="B16" s="5"/>
      <c r="C16" s="5"/>
      <c r="D16" s="5"/>
      <c r="E16" s="5"/>
      <c r="F16" s="5"/>
      <c r="G16" s="5"/>
      <c r="H16" s="5"/>
      <c r="I16" s="5"/>
      <c r="J16" s="5"/>
      <c r="K16" s="5"/>
      <c r="U16" s="43"/>
      <c r="X16" s="43"/>
    </row>
    <row r="17" s="4" customFormat="1" ht="15.75" customHeight="1" spans="2:24">
      <c r="B17" s="5"/>
      <c r="C17" s="5"/>
      <c r="D17" s="5"/>
      <c r="E17" s="5"/>
      <c r="F17" s="5"/>
      <c r="G17" s="5"/>
      <c r="H17" s="5"/>
      <c r="I17" s="5"/>
      <c r="J17" s="5"/>
      <c r="K17" s="5"/>
      <c r="U17" s="43"/>
      <c r="X17" s="43"/>
    </row>
    <row r="18" s="4" customFormat="1" ht="15" customHeight="1" spans="2:24">
      <c r="B18" s="5"/>
      <c r="C18" s="5"/>
      <c r="D18" s="5"/>
      <c r="E18" s="5"/>
      <c r="F18" s="5"/>
      <c r="G18" s="5"/>
      <c r="H18" s="5"/>
      <c r="I18" s="5"/>
      <c r="J18" s="5"/>
      <c r="K18" s="5"/>
      <c r="U18" s="43"/>
      <c r="X18" s="43"/>
    </row>
    <row r="19" s="4" customFormat="1" ht="15" customHeight="1" spans="2:24">
      <c r="B19" s="5"/>
      <c r="C19" s="5"/>
      <c r="D19" s="5"/>
      <c r="E19" s="5"/>
      <c r="F19" s="5"/>
      <c r="G19" s="5"/>
      <c r="H19" s="5"/>
      <c r="I19" s="5"/>
      <c r="J19" s="5"/>
      <c r="K19" s="5"/>
      <c r="U19" s="43"/>
      <c r="X19" s="43"/>
    </row>
    <row r="20" s="4" customFormat="1" ht="15" customHeight="1" spans="2:24">
      <c r="B20" s="5"/>
      <c r="C20" s="5"/>
      <c r="D20" s="5"/>
      <c r="E20" s="5"/>
      <c r="F20" s="5"/>
      <c r="G20" s="5"/>
      <c r="H20" s="5"/>
      <c r="I20" s="5"/>
      <c r="J20" s="5"/>
      <c r="K20" s="5"/>
      <c r="U20" s="43"/>
      <c r="X20" s="43"/>
    </row>
    <row r="21" s="4" customFormat="1" ht="15" customHeight="1" spans="2:24">
      <c r="B21" s="5"/>
      <c r="C21" s="5"/>
      <c r="D21" s="5"/>
      <c r="E21" s="5"/>
      <c r="F21" s="5"/>
      <c r="G21" s="5"/>
      <c r="H21" s="5"/>
      <c r="I21" s="5"/>
      <c r="J21" s="5"/>
      <c r="K21" s="5"/>
      <c r="U21" s="43"/>
      <c r="X21" s="43"/>
    </row>
    <row r="22" s="4" customFormat="1" ht="15" customHeight="1" spans="2:24">
      <c r="B22" s="5"/>
      <c r="C22" s="5"/>
      <c r="D22" s="5"/>
      <c r="E22" s="5"/>
      <c r="F22" s="5"/>
      <c r="G22" s="5"/>
      <c r="H22" s="5"/>
      <c r="I22" s="5"/>
      <c r="J22" s="5"/>
      <c r="K22" s="5"/>
      <c r="U22" s="43"/>
      <c r="X22" s="43"/>
    </row>
    <row r="24" ht="17.25" customHeight="1"/>
    <row r="25" ht="33" customHeight="1"/>
    <row r="26" ht="6.75" customHeight="1"/>
  </sheetData>
  <mergeCells count="12">
    <mergeCell ref="B1:G1"/>
    <mergeCell ref="B2:G2"/>
    <mergeCell ref="C3:F3"/>
    <mergeCell ref="B4:C4"/>
    <mergeCell ref="E4:F4"/>
    <mergeCell ref="B5:C5"/>
    <mergeCell ref="E5:F5"/>
    <mergeCell ref="B6:C6"/>
    <mergeCell ref="E6:F6"/>
    <mergeCell ref="B7:L7"/>
    <mergeCell ref="B8:L8"/>
    <mergeCell ref="I5:I6"/>
  </mergeCells>
  <pageMargins left="0.708661417322835" right="0.708661417322835" top="0.748031496062992" bottom="0.748031496062992" header="0.31496062992126" footer="0.31496062992126"/>
  <pageSetup paperSize="9" scale="77" orientation="landscape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Z26"/>
  <sheetViews>
    <sheetView tabSelected="1" view="pageBreakPreview" zoomScale="80" zoomScaleNormal="100" workbookViewId="0">
      <selection activeCell="I5" sqref="I5:I6"/>
    </sheetView>
  </sheetViews>
  <sheetFormatPr defaultColWidth="9" defaultRowHeight="14.25"/>
  <cols>
    <col min="1" max="1" width="1.375" style="5" customWidth="1"/>
    <col min="2" max="3" width="12" style="5" customWidth="1"/>
    <col min="4" max="4" width="15.625" style="5" customWidth="1"/>
    <col min="5" max="6" width="12" style="5" customWidth="1"/>
    <col min="7" max="8" width="15.625" style="5" customWidth="1"/>
    <col min="9" max="9" width="16.625" style="5" customWidth="1"/>
    <col min="10" max="12" width="15.625" style="5" customWidth="1"/>
    <col min="13" max="13" width="9" style="5"/>
    <col min="14" max="14" width="12.625" style="5" customWidth="1"/>
    <col min="15" max="20" width="9" style="5"/>
    <col min="21" max="21" width="20.75" style="5" customWidth="1"/>
    <col min="22" max="22" width="9" style="6"/>
    <col min="23" max="24" width="9" style="5"/>
    <col min="25" max="25" width="9" style="6"/>
    <col min="26" max="16384" width="9" style="5"/>
  </cols>
  <sheetData>
    <row r="1" ht="35.25" customHeight="1" spans="2:26">
      <c r="B1" s="7" t="s">
        <v>0</v>
      </c>
      <c r="C1" s="8"/>
      <c r="D1" s="8"/>
      <c r="E1" s="8"/>
      <c r="F1" s="8"/>
      <c r="G1" s="8"/>
      <c r="H1" s="8"/>
      <c r="I1" s="9" t="s">
        <v>1</v>
      </c>
      <c r="J1" s="9"/>
      <c r="K1" s="9"/>
      <c r="L1" s="10"/>
    </row>
    <row r="2" ht="27" customHeight="1" spans="2:26">
      <c r="B2" s="11" t="s">
        <v>2</v>
      </c>
      <c r="C2" s="12"/>
      <c r="D2" s="12"/>
      <c r="E2" s="12"/>
      <c r="F2" s="12"/>
      <c r="G2" s="12"/>
      <c r="H2" s="12"/>
      <c r="I2" s="13"/>
      <c r="J2" s="14"/>
      <c r="K2" s="14" t="s">
        <v>3</v>
      </c>
      <c r="L2" s="15" t="s">
        <v>45</v>
      </c>
    </row>
    <row r="3" s="2" customFormat="1" ht="57" customHeight="1" spans="2:26">
      <c r="B3" s="16" t="s">
        <v>5</v>
      </c>
      <c r="C3" s="17" t="s">
        <v>6</v>
      </c>
      <c r="D3" s="17"/>
      <c r="E3" s="17"/>
      <c r="F3" s="17"/>
      <c r="G3" s="18" t="s">
        <v>7</v>
      </c>
      <c r="H3" s="18" t="s">
        <v>7</v>
      </c>
      <c r="I3" s="19" t="s">
        <v>7</v>
      </c>
      <c r="J3" s="20" t="s">
        <v>8</v>
      </c>
      <c r="K3" s="21">
        <v>46189</v>
      </c>
      <c r="L3" s="22"/>
      <c r="V3" s="23" t="s">
        <v>9</v>
      </c>
      <c r="Y3" s="24" t="s">
        <v>10</v>
      </c>
    </row>
    <row r="4" s="2" customFormat="1" ht="30" customHeight="1" spans="2:26">
      <c r="B4" s="25" t="s">
        <v>11</v>
      </c>
      <c r="C4" s="26"/>
      <c r="D4" s="27" t="s">
        <v>12</v>
      </c>
      <c r="E4" s="27" t="s">
        <v>13</v>
      </c>
      <c r="F4" s="27"/>
      <c r="G4" s="28" t="s">
        <v>14</v>
      </c>
      <c r="H4" s="29" t="s">
        <v>15</v>
      </c>
      <c r="I4" s="30" t="s">
        <v>16</v>
      </c>
      <c r="J4" s="28" t="s">
        <v>17</v>
      </c>
      <c r="K4" s="28" t="s">
        <v>18</v>
      </c>
      <c r="L4" s="31" t="s">
        <v>19</v>
      </c>
      <c r="N4" s="32" t="s">
        <v>20</v>
      </c>
      <c r="O4" s="33">
        <v>46171</v>
      </c>
      <c r="P4" s="33">
        <v>46183</v>
      </c>
      <c r="Q4" s="33">
        <v>46189</v>
      </c>
      <c r="R4" s="34" t="s">
        <v>21</v>
      </c>
      <c r="V4" s="23" t="s">
        <v>22</v>
      </c>
      <c r="W4" s="34"/>
      <c r="Y4" s="24" t="s">
        <v>22</v>
      </c>
      <c r="Z4" s="35"/>
    </row>
    <row r="5" s="3" customFormat="1" ht="120" customHeight="1" spans="2:26">
      <c r="B5" s="36" t="s">
        <v>23</v>
      </c>
      <c r="C5" s="37"/>
      <c r="D5" s="38" t="s">
        <v>24</v>
      </c>
      <c r="E5" s="38" t="s">
        <v>25</v>
      </c>
      <c r="F5" s="38"/>
      <c r="G5" s="39">
        <v>150</v>
      </c>
      <c r="H5" s="40" t="s">
        <v>46</v>
      </c>
      <c r="I5" s="41"/>
      <c r="J5" s="40">
        <f>G5*500</f>
        <v>75000</v>
      </c>
      <c r="K5" s="39" t="s">
        <v>27</v>
      </c>
      <c r="L5" s="42"/>
      <c r="N5" s="43">
        <f>400+400</f>
        <v>800</v>
      </c>
      <c r="O5" s="44">
        <v>63</v>
      </c>
      <c r="P5" s="44">
        <v>90</v>
      </c>
      <c r="Q5" s="44">
        <v>150</v>
      </c>
      <c r="R5" s="44">
        <f>N5-O5-P5</f>
        <v>647</v>
      </c>
      <c r="U5" s="44" t="s">
        <v>28</v>
      </c>
      <c r="V5" s="45">
        <v>1</v>
      </c>
      <c r="W5" s="44" t="s">
        <v>29</v>
      </c>
      <c r="Y5" s="46">
        <v>3</v>
      </c>
      <c r="Z5" s="47" t="s">
        <v>29</v>
      </c>
    </row>
    <row r="6" s="3" customFormat="1" ht="120" customHeight="1" spans="2:26">
      <c r="B6" s="36" t="s">
        <v>30</v>
      </c>
      <c r="C6" s="37"/>
      <c r="D6" s="38" t="s">
        <v>31</v>
      </c>
      <c r="E6" s="38" t="s">
        <v>32</v>
      </c>
      <c r="F6" s="38"/>
      <c r="G6" s="39">
        <v>200</v>
      </c>
      <c r="H6" s="40" t="s">
        <v>47</v>
      </c>
      <c r="I6" s="48"/>
      <c r="J6" s="40">
        <f>G6*300</f>
        <v>60000</v>
      </c>
      <c r="K6" s="39" t="s">
        <v>34</v>
      </c>
      <c r="L6" s="49"/>
      <c r="N6" s="43">
        <f>600+700</f>
        <v>1300</v>
      </c>
      <c r="O6" s="44">
        <v>100</v>
      </c>
      <c r="P6" s="44">
        <v>200</v>
      </c>
      <c r="Q6" s="44">
        <v>200</v>
      </c>
      <c r="R6" s="44">
        <f>N6-O6-P6</f>
        <v>1000</v>
      </c>
      <c r="U6" s="44" t="s">
        <v>35</v>
      </c>
      <c r="V6" s="45">
        <v>2</v>
      </c>
      <c r="W6" s="44" t="s">
        <v>36</v>
      </c>
      <c r="Y6" s="46">
        <v>4</v>
      </c>
      <c r="Z6" s="47" t="s">
        <v>37</v>
      </c>
    </row>
    <row r="7" s="4" customFormat="1" ht="30" customHeight="1" spans="2:26">
      <c r="B7" s="50" t="s">
        <v>38</v>
      </c>
      <c r="C7" s="51"/>
      <c r="D7" s="51"/>
      <c r="E7" s="51"/>
      <c r="F7" s="51"/>
      <c r="G7" s="51"/>
      <c r="H7" s="51"/>
      <c r="I7" s="51"/>
      <c r="J7" s="51"/>
      <c r="K7" s="51"/>
      <c r="L7" s="52"/>
      <c r="N7" s="5"/>
      <c r="V7" s="43"/>
      <c r="Y7" s="43"/>
    </row>
    <row r="8" s="4" customFormat="1" ht="23.25" customHeight="1" spans="2:26">
      <c r="B8" s="53" t="s">
        <v>39</v>
      </c>
      <c r="C8" s="54"/>
      <c r="D8" s="54"/>
      <c r="E8" s="54"/>
      <c r="F8" s="54"/>
      <c r="G8" s="54"/>
      <c r="H8" s="54"/>
      <c r="I8" s="54"/>
      <c r="J8" s="54"/>
      <c r="K8" s="54"/>
      <c r="L8" s="55"/>
      <c r="N8" s="5"/>
      <c r="V8" s="43"/>
      <c r="Y8" s="43"/>
    </row>
    <row r="9" s="4" customFormat="1" ht="12" customHeight="1" spans="2:26">
      <c r="B9" s="56"/>
      <c r="C9" s="57"/>
      <c r="D9" s="57"/>
      <c r="E9" s="57"/>
      <c r="F9" s="57"/>
      <c r="G9" s="57"/>
      <c r="H9" s="57"/>
      <c r="I9" s="57"/>
      <c r="J9" s="57"/>
      <c r="K9" s="57"/>
      <c r="L9" s="58"/>
      <c r="N9" s="5"/>
      <c r="V9" s="43"/>
      <c r="Y9" s="43"/>
    </row>
    <row r="10" s="4" customFormat="1" ht="30.75" customHeight="1" spans="2:26">
      <c r="B10" s="59"/>
      <c r="E10" s="60"/>
      <c r="J10" s="37" t="s">
        <v>40</v>
      </c>
      <c r="K10" s="61" t="s">
        <v>41</v>
      </c>
      <c r="L10" s="62" t="s">
        <v>42</v>
      </c>
      <c r="V10" s="43"/>
      <c r="Y10" s="43"/>
    </row>
    <row r="11" s="4" customFormat="1" ht="36.75" customHeight="1" spans="2:26">
      <c r="B11" s="63"/>
      <c r="C11" s="64"/>
      <c r="D11" s="64"/>
      <c r="E11" s="64"/>
      <c r="F11" s="65"/>
      <c r="G11" s="65"/>
      <c r="H11" s="65"/>
      <c r="I11" s="65"/>
      <c r="J11" s="66"/>
      <c r="K11" s="67"/>
      <c r="L11" s="68" t="s">
        <v>43</v>
      </c>
      <c r="V11" s="43"/>
      <c r="Y11" s="43"/>
    </row>
    <row r="12" s="4" customFormat="1" ht="9" customHeight="1" spans="2:26">
      <c r="B12" s="5"/>
      <c r="C12" s="5"/>
      <c r="D12" s="5"/>
      <c r="E12" s="5"/>
      <c r="F12" s="5"/>
      <c r="G12" s="5"/>
      <c r="H12" s="5"/>
      <c r="I12" s="5"/>
      <c r="J12" s="5"/>
      <c r="K12" s="5"/>
      <c r="V12" s="43"/>
      <c r="Y12" s="43"/>
    </row>
    <row r="13" s="4" customFormat="1" ht="16.5" customHeight="1" spans="2:26">
      <c r="B13" s="5"/>
      <c r="C13" s="5"/>
      <c r="D13" s="5"/>
      <c r="E13" s="5"/>
      <c r="F13" s="5" t="s">
        <v>44</v>
      </c>
      <c r="G13" s="5"/>
      <c r="H13" s="5"/>
      <c r="I13" s="5"/>
      <c r="J13" s="5"/>
      <c r="K13" s="5"/>
      <c r="V13" s="43"/>
      <c r="Y13" s="43"/>
    </row>
    <row r="14" s="4" customFormat="1" ht="16.5" customHeight="1" spans="2:26">
      <c r="B14" s="5"/>
      <c r="C14" s="5"/>
      <c r="D14" s="5"/>
      <c r="E14" s="5"/>
      <c r="F14" s="5"/>
      <c r="G14" s="5"/>
      <c r="H14" s="5"/>
      <c r="I14" s="5"/>
      <c r="J14" s="5"/>
      <c r="K14" s="5"/>
      <c r="V14" s="43"/>
      <c r="Y14" s="43"/>
    </row>
    <row r="15" s="4" customFormat="1" ht="15.75" customHeight="1" spans="2:26">
      <c r="B15" s="5"/>
      <c r="C15" s="5"/>
      <c r="D15" s="5"/>
      <c r="E15" s="5"/>
      <c r="F15" s="5"/>
      <c r="G15" s="5"/>
      <c r="H15" s="5"/>
      <c r="I15" s="5"/>
      <c r="J15" s="5"/>
      <c r="K15" s="5"/>
      <c r="L15" s="69"/>
      <c r="V15" s="43"/>
      <c r="Y15" s="43"/>
    </row>
    <row r="16" s="4" customFormat="1" ht="15.75" customHeight="1" spans="2:26">
      <c r="B16" s="5"/>
      <c r="C16" s="5"/>
      <c r="D16" s="5"/>
      <c r="E16" s="5"/>
      <c r="F16" s="5"/>
      <c r="G16" s="5"/>
      <c r="H16" s="5"/>
      <c r="I16" s="5"/>
      <c r="J16" s="5"/>
      <c r="K16" s="5"/>
      <c r="V16" s="43"/>
      <c r="Y16" s="43"/>
    </row>
    <row r="17" s="4" customFormat="1" ht="15.75" customHeight="1" spans="2:25">
      <c r="B17" s="5"/>
      <c r="C17" s="5"/>
      <c r="D17" s="5"/>
      <c r="E17" s="5"/>
      <c r="F17" s="5"/>
      <c r="G17" s="5"/>
      <c r="H17" s="5"/>
      <c r="I17" s="5"/>
      <c r="J17" s="5"/>
      <c r="K17" s="5"/>
      <c r="V17" s="43"/>
      <c r="Y17" s="43"/>
    </row>
    <row r="18" s="4" customFormat="1" ht="15" customHeight="1" spans="2:25">
      <c r="B18" s="5"/>
      <c r="C18" s="5"/>
      <c r="D18" s="5"/>
      <c r="E18" s="5"/>
      <c r="F18" s="5"/>
      <c r="G18" s="5"/>
      <c r="H18" s="5"/>
      <c r="I18" s="5"/>
      <c r="J18" s="5"/>
      <c r="K18" s="5"/>
      <c r="V18" s="43"/>
      <c r="Y18" s="43"/>
    </row>
    <row r="19" s="4" customFormat="1" ht="15" customHeight="1" spans="2:25">
      <c r="B19" s="5"/>
      <c r="C19" s="5"/>
      <c r="D19" s="5"/>
      <c r="E19" s="5"/>
      <c r="F19" s="5"/>
      <c r="G19" s="5"/>
      <c r="H19" s="5"/>
      <c r="I19" s="5"/>
      <c r="J19" s="5"/>
      <c r="K19" s="5"/>
      <c r="V19" s="43"/>
      <c r="Y19" s="43"/>
    </row>
    <row r="20" s="4" customFormat="1" ht="15" customHeight="1" spans="2:25">
      <c r="B20" s="5"/>
      <c r="C20" s="5"/>
      <c r="D20" s="5"/>
      <c r="E20" s="5"/>
      <c r="F20" s="5"/>
      <c r="G20" s="5"/>
      <c r="H20" s="5"/>
      <c r="I20" s="5"/>
      <c r="J20" s="5"/>
      <c r="K20" s="5"/>
      <c r="V20" s="43"/>
      <c r="Y20" s="43"/>
    </row>
    <row r="21" s="4" customFormat="1" ht="15" customHeight="1" spans="2:25">
      <c r="B21" s="5"/>
      <c r="C21" s="5"/>
      <c r="D21" s="5"/>
      <c r="E21" s="5"/>
      <c r="F21" s="5"/>
      <c r="G21" s="5"/>
      <c r="H21" s="5"/>
      <c r="I21" s="5"/>
      <c r="J21" s="5"/>
      <c r="K21" s="5"/>
      <c r="V21" s="43"/>
      <c r="Y21" s="43"/>
    </row>
    <row r="22" s="4" customFormat="1" ht="15" customHeight="1" spans="2:25">
      <c r="B22" s="5"/>
      <c r="C22" s="5"/>
      <c r="D22" s="5"/>
      <c r="E22" s="5"/>
      <c r="F22" s="5"/>
      <c r="G22" s="5"/>
      <c r="H22" s="5"/>
      <c r="I22" s="5"/>
      <c r="J22" s="5"/>
      <c r="K22" s="5"/>
      <c r="V22" s="43"/>
      <c r="Y22" s="43"/>
    </row>
    <row r="24" ht="17.25" customHeight="1"/>
    <row r="25" ht="33" customHeight="1"/>
    <row r="26" ht="6.75" customHeight="1"/>
  </sheetData>
  <mergeCells count="12">
    <mergeCell ref="B1:G1"/>
    <mergeCell ref="B2:G2"/>
    <mergeCell ref="C3:F3"/>
    <mergeCell ref="B4:C4"/>
    <mergeCell ref="E4:F4"/>
    <mergeCell ref="B5:C5"/>
    <mergeCell ref="E5:F5"/>
    <mergeCell ref="B6:C6"/>
    <mergeCell ref="E6:F6"/>
    <mergeCell ref="B7:L7"/>
    <mergeCell ref="B8:L8"/>
    <mergeCell ref="I5:I6"/>
  </mergeCells>
  <pageMargins left="0.708661417322835" right="0.708661417322835" top="0.748031496062992" bottom="0.748031496062992" header="0.31496062992126" footer="0.31496062992126"/>
  <pageSetup paperSize="9" scale="77" orientation="landscape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3:A5"/>
  <sheetViews>
    <sheetView view="pageBreakPreview" zoomScaleNormal="100" workbookViewId="0">
      <selection activeCell="A21" sqref="A21"/>
    </sheetView>
  </sheetViews>
  <sheetFormatPr defaultColWidth="9" defaultRowHeight="14.25" outlineLevelRow="4"/>
  <cols>
    <col min="1" max="1" width="124.375" customWidth="1"/>
  </cols>
  <sheetData>
    <row r="3" ht="15"/>
    <row r="4" ht="147.75" customHeight="1" spans="1:1">
      <c r="A4" s="1" t="s">
        <v>48</v>
      </c>
    </row>
    <row r="5" ht="15"/>
  </sheetData>
  <pageMargins left="0.708661417322835" right="0.708661417322835" top="0.748031496062992" bottom="0.748031496062992" header="0.31496062992126" footer="0.31496062992126"/>
  <pageSetup paperSize="9" scale="98" orientation="landscape"/>
  <headerFooter/>
  <colBreaks count="1" manualBreakCount="1">
    <brk id="1" max="1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送货单</vt:lpstr>
      <vt:lpstr>送货单 (2)</vt:lpstr>
      <vt:lpstr>标签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virtue-Seles</dc:creator>
  <cp:lastModifiedBy>WPS_1736410054</cp:lastModifiedBy>
  <dcterms:created xsi:type="dcterms:W3CDTF">1996-12-17T01:32:00Z</dcterms:created>
  <cp:lastPrinted>2026-01-16T09:29:00Z</cp:lastPrinted>
  <dcterms:modified xsi:type="dcterms:W3CDTF">2026-06-15T08:44:22Z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96CE7DFACB2A4C91A6C5EB7B7DD4D2C2_13</vt:lpwstr>
  </property>
  <property fmtid="{D5CDD505-2E9C-101B-9397-08002B2CF9AE}" pid="4" name="CalculationRule">
    <vt:i4>0</vt:i4>
  </property>
</Properties>
</file>